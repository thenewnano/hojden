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ägenheter" sheetId="1" state="visible" r:id="rId3"/>
    <sheet name="Sammanfattnin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<sst xmlns="http://schemas.openxmlformats.org/spreadsheetml/2006/main" count="199" uniqueCount="114">
  <si>
    <t xml:space="preserve">BRF Höjden i Göteborg – Lägenhetsförteckning</t>
  </si>
  <si>
    <t xml:space="preserve">Källa: Ekonomisk plan, org.nr 769639-3391, upprättad 2022 (Sjupundsgatan 11-39 / Skillingmyntsgatan 2-4)</t>
  </si>
  <si>
    <t xml:space="preserve">Lghnr</t>
  </si>
  <si>
    <t xml:space="preserve">Storlek</t>
  </si>
  <si>
    <t xml:space="preserve">Boarea (m²)</t>
  </si>
  <si>
    <t xml:space="preserve">Mark</t>
  </si>
  <si>
    <t xml:space="preserve">Andelstal (%)</t>
  </si>
  <si>
    <t xml:space="preserve">Insats (kr)</t>
  </si>
  <si>
    <t xml:space="preserve">Upplåtelseavgift (kr)</t>
  </si>
  <si>
    <t xml:space="preserve">Insats + upplåtelse (kr)</t>
  </si>
  <si>
    <t xml:space="preserve">Lån per lgh (kr)</t>
  </si>
  <si>
    <t xml:space="preserve">Årsavgift exkl. vv (kr/år)</t>
  </si>
  <si>
    <t xml:space="preserve">Årsavgift exkl. vv (kr/mån)</t>
  </si>
  <si>
    <t xml:space="preserve">Varmvattenavgift (kr/år)</t>
  </si>
  <si>
    <t xml:space="preserve">06-1101</t>
  </si>
  <si>
    <t xml:space="preserve">3 rok</t>
  </si>
  <si>
    <t xml:space="preserve">M</t>
  </si>
  <si>
    <t xml:space="preserve">06-1201</t>
  </si>
  <si>
    <t xml:space="preserve">06-1202</t>
  </si>
  <si>
    <t xml:space="preserve">1 rok</t>
  </si>
  <si>
    <t xml:space="preserve">06-1203</t>
  </si>
  <si>
    <t xml:space="preserve">06-1204</t>
  </si>
  <si>
    <t xml:space="preserve">06-1301</t>
  </si>
  <si>
    <t xml:space="preserve">06-1302</t>
  </si>
  <si>
    <t xml:space="preserve">06-1303</t>
  </si>
  <si>
    <t xml:space="preserve">06-1304</t>
  </si>
  <si>
    <t xml:space="preserve">06-1401</t>
  </si>
  <si>
    <t xml:space="preserve">06-1402</t>
  </si>
  <si>
    <t xml:space="preserve">06-1403</t>
  </si>
  <si>
    <t xml:space="preserve">06-1404</t>
  </si>
  <si>
    <t xml:space="preserve">06-1501</t>
  </si>
  <si>
    <t xml:space="preserve">06-1502</t>
  </si>
  <si>
    <t xml:space="preserve">06-1503</t>
  </si>
  <si>
    <t xml:space="preserve">06-1504</t>
  </si>
  <si>
    <t xml:space="preserve">06-1601</t>
  </si>
  <si>
    <t xml:space="preserve">06-1602</t>
  </si>
  <si>
    <t xml:space="preserve">06-1603</t>
  </si>
  <si>
    <t xml:space="preserve">06-1604</t>
  </si>
  <si>
    <t xml:space="preserve">06-1701</t>
  </si>
  <si>
    <t xml:space="preserve">06-1702</t>
  </si>
  <si>
    <t xml:space="preserve">06-1703</t>
  </si>
  <si>
    <t xml:space="preserve">06-1704</t>
  </si>
  <si>
    <t xml:space="preserve">06-1801</t>
  </si>
  <si>
    <t xml:space="preserve">06-1802</t>
  </si>
  <si>
    <t xml:space="preserve">06-1803</t>
  </si>
  <si>
    <t xml:space="preserve">06-1804</t>
  </si>
  <si>
    <t xml:space="preserve">07-1301</t>
  </si>
  <si>
    <t xml:space="preserve">07-1302</t>
  </si>
  <si>
    <t xml:space="preserve">07-1303</t>
  </si>
  <si>
    <t xml:space="preserve">2 rok</t>
  </si>
  <si>
    <t xml:space="preserve">07-1304</t>
  </si>
  <si>
    <t xml:space="preserve">07-1401</t>
  </si>
  <si>
    <t xml:space="preserve">07-1402</t>
  </si>
  <si>
    <t xml:space="preserve">07-1403</t>
  </si>
  <si>
    <t xml:space="preserve">07-1404</t>
  </si>
  <si>
    <t xml:space="preserve">07-1501</t>
  </si>
  <si>
    <t xml:space="preserve">07-1502</t>
  </si>
  <si>
    <t xml:space="preserve">07-1503</t>
  </si>
  <si>
    <t xml:space="preserve">07-1504</t>
  </si>
  <si>
    <t xml:space="preserve">07-1601</t>
  </si>
  <si>
    <t xml:space="preserve">07-1602</t>
  </si>
  <si>
    <t xml:space="preserve">07-1603</t>
  </si>
  <si>
    <t xml:space="preserve">07-1604</t>
  </si>
  <si>
    <t xml:space="preserve">07-1701</t>
  </si>
  <si>
    <t xml:space="preserve">07-1702</t>
  </si>
  <si>
    <t xml:space="preserve">07-1703</t>
  </si>
  <si>
    <t xml:space="preserve">07-1704</t>
  </si>
  <si>
    <t xml:space="preserve">07-1801</t>
  </si>
  <si>
    <t xml:space="preserve">07-1802</t>
  </si>
  <si>
    <t xml:space="preserve">07-1803</t>
  </si>
  <si>
    <t xml:space="preserve">07-1804</t>
  </si>
  <si>
    <t xml:space="preserve">07-1901</t>
  </si>
  <si>
    <t xml:space="preserve">07-1902</t>
  </si>
  <si>
    <t xml:space="preserve">07-1903</t>
  </si>
  <si>
    <t xml:space="preserve">07-1904</t>
  </si>
  <si>
    <t xml:space="preserve">08-1201</t>
  </si>
  <si>
    <t xml:space="preserve">08-1301</t>
  </si>
  <si>
    <t xml:space="preserve">08-1302</t>
  </si>
  <si>
    <t xml:space="preserve">08-1303</t>
  </si>
  <si>
    <t xml:space="preserve">4 rok</t>
  </si>
  <si>
    <t xml:space="preserve">08-1401</t>
  </si>
  <si>
    <t xml:space="preserve">08-1402</t>
  </si>
  <si>
    <t xml:space="preserve">08-1403</t>
  </si>
  <si>
    <t xml:space="preserve">08-1501</t>
  </si>
  <si>
    <t xml:space="preserve">08-1502</t>
  </si>
  <si>
    <t xml:space="preserve">08-1503</t>
  </si>
  <si>
    <t xml:space="preserve">08-1601</t>
  </si>
  <si>
    <t xml:space="preserve">08-1602</t>
  </si>
  <si>
    <t xml:space="preserve">08-1603</t>
  </si>
  <si>
    <t xml:space="preserve">08-1701</t>
  </si>
  <si>
    <t xml:space="preserve">08-1702</t>
  </si>
  <si>
    <t xml:space="preserve">08-1703</t>
  </si>
  <si>
    <t xml:space="preserve">08-1801</t>
  </si>
  <si>
    <t xml:space="preserve">08-1802</t>
  </si>
  <si>
    <t xml:space="preserve">08-1803</t>
  </si>
  <si>
    <t xml:space="preserve">08-1901</t>
  </si>
  <si>
    <t xml:space="preserve">08-1902</t>
  </si>
  <si>
    <t xml:space="preserve">08-1903</t>
  </si>
  <si>
    <t xml:space="preserve">08-2001</t>
  </si>
  <si>
    <t xml:space="preserve">08-2002</t>
  </si>
  <si>
    <t xml:space="preserve">08-2003</t>
  </si>
  <si>
    <t xml:space="preserve">08-2004</t>
  </si>
  <si>
    <t xml:space="preserve">08-2005</t>
  </si>
  <si>
    <t xml:space="preserve">SUMMA / SNITT</t>
  </si>
  <si>
    <t xml:space="preserve">Anm.: "Storlek" = antal rum enligt föreningens lägenhetsförteckning (kök oräknat). Andelstal beräknat på boarea/total boarea. Källa: Ekonomisk plan, avsnitt 5 Lägenhetsförteckning.</t>
  </si>
  <si>
    <t xml:space="preserve">Sammanfattning per lägenhetstyp</t>
  </si>
  <si>
    <t xml:space="preserve">BRF Höjden i Göteborg – 84 lägenheter, totalt 4 567 m² boarea</t>
  </si>
  <si>
    <t xml:space="preserve">Antal lgh</t>
  </si>
  <si>
    <t xml:space="preserve">Andel av bestånd</t>
  </si>
  <si>
    <t xml:space="preserve">Boarea totalt (m²)</t>
  </si>
  <si>
    <t xml:space="preserve">Snittstorlek (m²)</t>
  </si>
  <si>
    <t xml:space="preserve">Andelstal totalt (%)</t>
  </si>
  <si>
    <t xml:space="preserve">TOTALT</t>
  </si>
  <si>
    <t xml:space="preserve">Anm.: Siffrorna hämtade från föreningens ekonomiska plan (2022). Andelstal och avgifter kan ha justerats sedan dess vid stämmobeslut.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</si>
</sst>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&quot; m²&quot;"/>
    <numFmt numFmtId="166" formatCode="0.0000%"/>
    <numFmt numFmtId="167" formatCode="#,##0&quot; kr&quot;"/>
    <numFmt numFmtId="168" formatCode="0.0%"/>
    <numFmt numFmtId="169" formatCode="#,##0&quot; m²&quot;"/>
    <numFmt numFmtId="170" formatCode="0.0&quot; m²&quot;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A"/>
        <bgColor rgb="FFF9F9F9"/>
      </patternFill>
    </fill>
    <fill>
      <patternFill patternType="solid">
        <fgColor rgb="FFD9E4EF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F2F6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4E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Antal lägenheter per typ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Sammanfattning!B4</c:f>
              <c:strCache>
                <c:ptCount val="1"/>
                <c:pt idx="0">
                  <c:v>Antal lgh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Sammanfattning!$A$5:$A$8</c:f>
              <c:strCache>
                <c:ptCount val="4"/>
                <c:pt idx="0">
                  <c:v>1 rok</c:v>
                </c:pt>
                <c:pt idx="1">
                  <c:v>2 rok</c:v>
                </c:pt>
                <c:pt idx="2">
                  <c:v>3 rok</c:v>
                </c:pt>
                <c:pt idx="3">
                  <c:v>4 rok</c:v>
                </c:pt>
              </c:strCache>
            </c:strRef>
          </c:cat>
          <c:val>
            <c:numRef>
              <c:f>Sammanfattning!$B$5:$B$8</c:f>
              <c:numCache>
                <c:formatCode>General</c:formatCode>
                <c:ptCount val="4"/>
                <c:pt idx="0">
                  <c:v>32</c:v>
                </c:pt>
                <c:pt idx="1">
                  <c:v>21</c:v>
                </c:pt>
                <c:pt idx="2">
                  <c:v>22</c:v>
                </c:pt>
                <c:pt idx="3">
                  <c:v>9</c:v>
                </c:pt>
              </c:numCache>
            </c:numRef>
          </c:val>
        </c:ser>
        <c:gapWidth val="150"/>
        <c:overlap val="0"/>
        <c:axId val="47535107"/>
        <c:axId val="4974295"/>
      </c:barChart>
      <c:catAx>
        <c:axId val="475351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Storlek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74295"/>
        <c:crosses val="autoZero"/>
        <c:auto val="1"/>
        <c:lblAlgn val="ctr"/>
        <c:lblOffset val="100"/>
        <c:noMultiLvlLbl val="0"/>
      </c:catAx>
      <c:valAx>
        <c:axId val="49742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Antal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5351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Boarea totalt per typ (m²)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Sammanfattning!D4</c:f>
              <c:strCache>
                <c:ptCount val="1"/>
                <c:pt idx="0">
                  <c:v>Boarea totalt (m²)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Sammanfattning!$A$5:$A$8</c:f>
              <c:strCache>
                <c:ptCount val="4"/>
                <c:pt idx="0">
                  <c:v>1 rok</c:v>
                </c:pt>
                <c:pt idx="1">
                  <c:v>2 rok</c:v>
                </c:pt>
                <c:pt idx="2">
                  <c:v>3 rok</c:v>
                </c:pt>
                <c:pt idx="3">
                  <c:v>4 rok</c:v>
                </c:pt>
              </c:strCache>
            </c:strRef>
          </c:cat>
          <c:val>
            <c:numRef>
              <c:f>Sammanfattning!$D$5:$D$8</c:f>
              <c:numCache>
                <c:formatCode>#,##0" m²"</c:formatCode>
                <c:ptCount val="4"/>
                <c:pt idx="0">
                  <c:v>1077</c:v>
                </c:pt>
                <c:pt idx="1">
                  <c:v>1113</c:v>
                </c:pt>
                <c:pt idx="2">
                  <c:v>1565</c:v>
                </c:pt>
                <c:pt idx="3">
                  <c:v>812</c:v>
                </c:pt>
              </c:numCache>
            </c:numRef>
          </c:val>
        </c:ser>
        <c:gapWidth val="150"/>
        <c:overlap val="0"/>
        <c:axId val="5559890"/>
        <c:axId val="77373636"/>
      </c:barChart>
      <c:catAx>
        <c:axId val="55598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Storlek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373636"/>
        <c:crosses val="autoZero"/>
        <c:auto val="1"/>
        <c:lblAlgn val="ctr"/>
        <c:lblOffset val="100"/>
        <c:noMultiLvlLbl val="0"/>
      </c:catAx>
      <c:valAx>
        <c:axId val="773736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m²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m²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598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48240</xdr:rowOff>
    </xdr:from>
    <xdr:to>
      <xdr:col>5</xdr:col>
      <xdr:colOff>246600</xdr:colOff>
      <xdr:row>25</xdr:row>
      <xdr:rowOff>70560</xdr:rowOff>
    </xdr:to>
    <xdr:graphicFrame>
      <xdr:nvGraphicFramePr>
        <xdr:cNvPr id="0" name="Chart 1"/>
        <xdr:cNvGraphicFramePr/>
      </xdr:nvGraphicFramePr>
      <xdr:xfrm>
        <a:off x="0" y="20955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10</xdr:row>
      <xdr:rowOff>48240</xdr:rowOff>
    </xdr:from>
    <xdr:to>
      <xdr:col>15</xdr:col>
      <xdr:colOff>147600</xdr:colOff>
      <xdr:row>25</xdr:row>
      <xdr:rowOff>70560</xdr:rowOff>
    </xdr:to>
    <xdr:graphicFrame>
      <xdr:nvGraphicFramePr>
        <xdr:cNvPr id="1" name="Chart 2"/>
        <xdr:cNvGraphicFramePr/>
      </xdr:nvGraphicFramePr>
      <xdr:xfrm>
        <a:off x="6602760" y="20955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6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13"/>
    <col collapsed="false" customWidth="true" hidden="false" outlineLevel="0" max="11" min="10" style="0" width="15"/>
    <col collapsed="false" customWidth="true" hidden="false" outlineLevel="0" max="12" min="12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14</v>
      </c>
      <c r="B5" s="4" t="s">
        <v>15</v>
      </c>
      <c r="C5" s="5" t="n">
        <v>81</v>
      </c>
      <c r="D5" s="4" t="s">
        <v>16</v>
      </c>
      <c r="E5" s="6" t="n">
        <v>0.017736</v>
      </c>
      <c r="F5" s="7" t="n">
        <v>2453000</v>
      </c>
      <c r="G5" s="7" t="n">
        <v>1082000</v>
      </c>
      <c r="H5" s="7" t="n">
        <v>3535000</v>
      </c>
      <c r="I5" s="7" t="n">
        <v>1077300</v>
      </c>
      <c r="J5" s="7" t="n">
        <v>57792</v>
      </c>
      <c r="K5" s="7" t="n">
        <v>4816</v>
      </c>
      <c r="L5" s="7" t="n">
        <v>1750</v>
      </c>
    </row>
    <row r="6" customFormat="false" ht="15" hidden="false" customHeight="false" outlineLevel="0" collapsed="false">
      <c r="A6" s="8" t="s">
        <v>17</v>
      </c>
      <c r="B6" s="8" t="s">
        <v>15</v>
      </c>
      <c r="C6" s="9" t="n">
        <v>73</v>
      </c>
      <c r="D6" s="8"/>
      <c r="E6" s="10" t="n">
        <v>0.015984</v>
      </c>
      <c r="F6" s="11" t="n">
        <v>2211000</v>
      </c>
      <c r="G6" s="11" t="n">
        <v>1164000</v>
      </c>
      <c r="H6" s="11" t="n">
        <v>3375000</v>
      </c>
      <c r="I6" s="11" t="n">
        <v>970900</v>
      </c>
      <c r="J6" s="11" t="n">
        <v>52084</v>
      </c>
      <c r="K6" s="11" t="n">
        <v>4340</v>
      </c>
      <c r="L6" s="11" t="n">
        <v>1750</v>
      </c>
    </row>
    <row r="7" customFormat="false" ht="15" hidden="false" customHeight="false" outlineLevel="0" collapsed="false">
      <c r="A7" s="4" t="s">
        <v>18</v>
      </c>
      <c r="B7" s="4" t="s">
        <v>19</v>
      </c>
      <c r="C7" s="5" t="n">
        <v>35</v>
      </c>
      <c r="D7" s="4"/>
      <c r="E7" s="6" t="n">
        <v>0.007664</v>
      </c>
      <c r="F7" s="7" t="n">
        <v>1060000</v>
      </c>
      <c r="G7" s="7" t="n">
        <v>650000</v>
      </c>
      <c r="H7" s="7" t="n">
        <v>1710000</v>
      </c>
      <c r="I7" s="7" t="n">
        <v>465500</v>
      </c>
      <c r="J7" s="7" t="n">
        <v>24972</v>
      </c>
      <c r="K7" s="7" t="n">
        <v>2081</v>
      </c>
      <c r="L7" s="7" t="n">
        <v>1050</v>
      </c>
    </row>
    <row r="8" customFormat="false" ht="15" hidden="false" customHeight="false" outlineLevel="0" collapsed="false">
      <c r="A8" s="8" t="s">
        <v>20</v>
      </c>
      <c r="B8" s="8" t="s">
        <v>19</v>
      </c>
      <c r="C8" s="9" t="n">
        <v>35</v>
      </c>
      <c r="D8" s="8"/>
      <c r="E8" s="10" t="n">
        <v>0.007664</v>
      </c>
      <c r="F8" s="11" t="n">
        <v>1060000</v>
      </c>
      <c r="G8" s="11" t="n">
        <v>650000</v>
      </c>
      <c r="H8" s="11" t="n">
        <v>1710000</v>
      </c>
      <c r="I8" s="11" t="n">
        <v>465500</v>
      </c>
      <c r="J8" s="11" t="n">
        <v>24972</v>
      </c>
      <c r="K8" s="11" t="n">
        <v>2081</v>
      </c>
      <c r="L8" s="11" t="n">
        <v>1050</v>
      </c>
    </row>
    <row r="9" customFormat="false" ht="15" hidden="false" customHeight="false" outlineLevel="0" collapsed="false">
      <c r="A9" s="4" t="s">
        <v>21</v>
      </c>
      <c r="B9" s="4" t="s">
        <v>15</v>
      </c>
      <c r="C9" s="5" t="n">
        <v>73</v>
      </c>
      <c r="D9" s="4"/>
      <c r="E9" s="6" t="n">
        <v>0.015984</v>
      </c>
      <c r="F9" s="7" t="n">
        <v>2211000</v>
      </c>
      <c r="G9" s="7" t="n">
        <v>1164000</v>
      </c>
      <c r="H9" s="7" t="n">
        <v>3375000</v>
      </c>
      <c r="I9" s="7" t="n">
        <v>970900</v>
      </c>
      <c r="J9" s="7" t="n">
        <v>52084</v>
      </c>
      <c r="K9" s="7" t="n">
        <v>4340</v>
      </c>
      <c r="L9" s="7" t="n">
        <v>1750</v>
      </c>
    </row>
    <row r="10" customFormat="false" ht="15" hidden="false" customHeight="false" outlineLevel="0" collapsed="false">
      <c r="A10" s="8" t="s">
        <v>22</v>
      </c>
      <c r="B10" s="8" t="s">
        <v>15</v>
      </c>
      <c r="C10" s="9" t="n">
        <v>73</v>
      </c>
      <c r="D10" s="8"/>
      <c r="E10" s="10" t="n">
        <v>0.015984</v>
      </c>
      <c r="F10" s="11" t="n">
        <v>2211000</v>
      </c>
      <c r="G10" s="11" t="n">
        <v>1214000</v>
      </c>
      <c r="H10" s="11" t="n">
        <v>3425000</v>
      </c>
      <c r="I10" s="11" t="n">
        <v>970900</v>
      </c>
      <c r="J10" s="11" t="n">
        <v>52084</v>
      </c>
      <c r="K10" s="11" t="n">
        <v>4340</v>
      </c>
      <c r="L10" s="11" t="n">
        <v>1750</v>
      </c>
    </row>
    <row r="11" customFormat="false" ht="15" hidden="false" customHeight="false" outlineLevel="0" collapsed="false">
      <c r="A11" s="4" t="s">
        <v>23</v>
      </c>
      <c r="B11" s="4" t="s">
        <v>19</v>
      </c>
      <c r="C11" s="5" t="n">
        <v>35</v>
      </c>
      <c r="D11" s="4"/>
      <c r="E11" s="6" t="n">
        <v>0.007664</v>
      </c>
      <c r="F11" s="7" t="n">
        <v>1060000</v>
      </c>
      <c r="G11" s="7" t="n">
        <v>680000</v>
      </c>
      <c r="H11" s="7" t="n">
        <v>1740000</v>
      </c>
      <c r="I11" s="7" t="n">
        <v>465500</v>
      </c>
      <c r="J11" s="7" t="n">
        <v>24972</v>
      </c>
      <c r="K11" s="7" t="n">
        <v>2081</v>
      </c>
      <c r="L11" s="7" t="n">
        <v>1050</v>
      </c>
    </row>
    <row r="12" customFormat="false" ht="15" hidden="false" customHeight="false" outlineLevel="0" collapsed="false">
      <c r="A12" s="8" t="s">
        <v>24</v>
      </c>
      <c r="B12" s="8" t="s">
        <v>19</v>
      </c>
      <c r="C12" s="9" t="n">
        <v>35</v>
      </c>
      <c r="D12" s="8"/>
      <c r="E12" s="10" t="n">
        <v>0.007664</v>
      </c>
      <c r="F12" s="11" t="n">
        <v>1060000</v>
      </c>
      <c r="G12" s="11" t="n">
        <v>680000</v>
      </c>
      <c r="H12" s="11" t="n">
        <v>1740000</v>
      </c>
      <c r="I12" s="11" t="n">
        <v>465500</v>
      </c>
      <c r="J12" s="11" t="n">
        <v>24972</v>
      </c>
      <c r="K12" s="11" t="n">
        <v>2081</v>
      </c>
      <c r="L12" s="11" t="n">
        <v>1050</v>
      </c>
    </row>
    <row r="13" customFormat="false" ht="15" hidden="false" customHeight="false" outlineLevel="0" collapsed="false">
      <c r="A13" s="4" t="s">
        <v>25</v>
      </c>
      <c r="B13" s="4" t="s">
        <v>15</v>
      </c>
      <c r="C13" s="5" t="n">
        <v>73</v>
      </c>
      <c r="D13" s="4"/>
      <c r="E13" s="6" t="n">
        <v>0.015984</v>
      </c>
      <c r="F13" s="7" t="n">
        <v>2211000</v>
      </c>
      <c r="G13" s="7" t="n">
        <v>1214000</v>
      </c>
      <c r="H13" s="7" t="n">
        <v>3425000</v>
      </c>
      <c r="I13" s="7" t="n">
        <v>970900</v>
      </c>
      <c r="J13" s="7" t="n">
        <v>52084</v>
      </c>
      <c r="K13" s="7" t="n">
        <v>4340</v>
      </c>
      <c r="L13" s="7" t="n">
        <v>1750</v>
      </c>
    </row>
    <row r="14" customFormat="false" ht="15" hidden="false" customHeight="false" outlineLevel="0" collapsed="false">
      <c r="A14" s="8" t="s">
        <v>26</v>
      </c>
      <c r="B14" s="8" t="s">
        <v>15</v>
      </c>
      <c r="C14" s="9" t="n">
        <v>73</v>
      </c>
      <c r="D14" s="8"/>
      <c r="E14" s="10" t="n">
        <v>0.015984</v>
      </c>
      <c r="F14" s="11" t="n">
        <v>2211000</v>
      </c>
      <c r="G14" s="11" t="n">
        <v>1264000</v>
      </c>
      <c r="H14" s="11" t="n">
        <v>3475000</v>
      </c>
      <c r="I14" s="11" t="n">
        <v>970900</v>
      </c>
      <c r="J14" s="11" t="n">
        <v>52084</v>
      </c>
      <c r="K14" s="11" t="n">
        <v>4340</v>
      </c>
      <c r="L14" s="11" t="n">
        <v>1750</v>
      </c>
    </row>
    <row r="15" customFormat="false" ht="15" hidden="false" customHeight="false" outlineLevel="0" collapsed="false">
      <c r="A15" s="4" t="s">
        <v>27</v>
      </c>
      <c r="B15" s="4" t="s">
        <v>19</v>
      </c>
      <c r="C15" s="5" t="n">
        <v>35</v>
      </c>
      <c r="D15" s="4"/>
      <c r="E15" s="6" t="n">
        <v>0.007664</v>
      </c>
      <c r="F15" s="7" t="n">
        <v>1060000</v>
      </c>
      <c r="G15" s="7" t="n">
        <v>710000</v>
      </c>
      <c r="H15" s="7" t="n">
        <v>1770000</v>
      </c>
      <c r="I15" s="7" t="n">
        <v>465500</v>
      </c>
      <c r="J15" s="7" t="n">
        <v>24972</v>
      </c>
      <c r="K15" s="7" t="n">
        <v>2081</v>
      </c>
      <c r="L15" s="7" t="n">
        <v>1050</v>
      </c>
    </row>
    <row r="16" customFormat="false" ht="15" hidden="false" customHeight="false" outlineLevel="0" collapsed="false">
      <c r="A16" s="8" t="s">
        <v>28</v>
      </c>
      <c r="B16" s="8" t="s">
        <v>19</v>
      </c>
      <c r="C16" s="9" t="n">
        <v>35</v>
      </c>
      <c r="D16" s="8"/>
      <c r="E16" s="10" t="n">
        <v>0.007664</v>
      </c>
      <c r="F16" s="11" t="n">
        <v>1060000</v>
      </c>
      <c r="G16" s="11" t="n">
        <v>710000</v>
      </c>
      <c r="H16" s="11" t="n">
        <v>1770000</v>
      </c>
      <c r="I16" s="11" t="n">
        <v>465500</v>
      </c>
      <c r="J16" s="11" t="n">
        <v>24972</v>
      </c>
      <c r="K16" s="11" t="n">
        <v>2081</v>
      </c>
      <c r="L16" s="11" t="n">
        <v>1050</v>
      </c>
    </row>
    <row r="17" customFormat="false" ht="15" hidden="false" customHeight="false" outlineLevel="0" collapsed="false">
      <c r="A17" s="4" t="s">
        <v>29</v>
      </c>
      <c r="B17" s="4" t="s">
        <v>15</v>
      </c>
      <c r="C17" s="5" t="n">
        <v>73</v>
      </c>
      <c r="D17" s="4"/>
      <c r="E17" s="6" t="n">
        <v>0.015984</v>
      </c>
      <c r="F17" s="7" t="n">
        <v>2211000</v>
      </c>
      <c r="G17" s="7" t="n">
        <v>1264000</v>
      </c>
      <c r="H17" s="7" t="n">
        <v>3475000</v>
      </c>
      <c r="I17" s="7" t="n">
        <v>970900</v>
      </c>
      <c r="J17" s="7" t="n">
        <v>52084</v>
      </c>
      <c r="K17" s="7" t="n">
        <v>4340</v>
      </c>
      <c r="L17" s="7" t="n">
        <v>1750</v>
      </c>
    </row>
    <row r="18" customFormat="false" ht="15" hidden="false" customHeight="false" outlineLevel="0" collapsed="false">
      <c r="A18" s="8" t="s">
        <v>30</v>
      </c>
      <c r="B18" s="8" t="s">
        <v>15</v>
      </c>
      <c r="C18" s="9" t="n">
        <v>73</v>
      </c>
      <c r="D18" s="8"/>
      <c r="E18" s="10" t="n">
        <v>0.015984</v>
      </c>
      <c r="F18" s="11" t="n">
        <v>2211000</v>
      </c>
      <c r="G18" s="11" t="n">
        <v>1314000</v>
      </c>
      <c r="H18" s="11" t="n">
        <v>3525000</v>
      </c>
      <c r="I18" s="11" t="n">
        <v>970900</v>
      </c>
      <c r="J18" s="11" t="n">
        <v>52084</v>
      </c>
      <c r="K18" s="11" t="n">
        <v>4340</v>
      </c>
      <c r="L18" s="11" t="n">
        <v>1750</v>
      </c>
    </row>
    <row r="19" customFormat="false" ht="15" hidden="false" customHeight="false" outlineLevel="0" collapsed="false">
      <c r="A19" s="4" t="s">
        <v>31</v>
      </c>
      <c r="B19" s="4" t="s">
        <v>19</v>
      </c>
      <c r="C19" s="5" t="n">
        <v>35</v>
      </c>
      <c r="D19" s="4"/>
      <c r="E19" s="6" t="n">
        <v>0.007664</v>
      </c>
      <c r="F19" s="7" t="n">
        <v>1060000</v>
      </c>
      <c r="G19" s="7" t="n">
        <v>735000</v>
      </c>
      <c r="H19" s="7" t="n">
        <v>1795000</v>
      </c>
      <c r="I19" s="7" t="n">
        <v>465500</v>
      </c>
      <c r="J19" s="7" t="n">
        <v>24972</v>
      </c>
      <c r="K19" s="7" t="n">
        <v>2081</v>
      </c>
      <c r="L19" s="7" t="n">
        <v>1050</v>
      </c>
    </row>
    <row r="20" customFormat="false" ht="15" hidden="false" customHeight="false" outlineLevel="0" collapsed="false">
      <c r="A20" s="8" t="s">
        <v>32</v>
      </c>
      <c r="B20" s="8" t="s">
        <v>19</v>
      </c>
      <c r="C20" s="9" t="n">
        <v>35</v>
      </c>
      <c r="D20" s="8"/>
      <c r="E20" s="10" t="n">
        <v>0.007664</v>
      </c>
      <c r="F20" s="11" t="n">
        <v>1060000</v>
      </c>
      <c r="G20" s="11" t="n">
        <v>735000</v>
      </c>
      <c r="H20" s="11" t="n">
        <v>1795000</v>
      </c>
      <c r="I20" s="11" t="n">
        <v>465500</v>
      </c>
      <c r="J20" s="11" t="n">
        <v>24972</v>
      </c>
      <c r="K20" s="11" t="n">
        <v>2081</v>
      </c>
      <c r="L20" s="11" t="n">
        <v>1050</v>
      </c>
    </row>
    <row r="21" customFormat="false" ht="15" hidden="false" customHeight="false" outlineLevel="0" collapsed="false">
      <c r="A21" s="4" t="s">
        <v>33</v>
      </c>
      <c r="B21" s="4" t="s">
        <v>15</v>
      </c>
      <c r="C21" s="5" t="n">
        <v>73</v>
      </c>
      <c r="D21" s="4"/>
      <c r="E21" s="6" t="n">
        <v>0.015984</v>
      </c>
      <c r="F21" s="7" t="n">
        <v>2211000</v>
      </c>
      <c r="G21" s="7" t="n">
        <v>1314000</v>
      </c>
      <c r="H21" s="7" t="n">
        <v>3525000</v>
      </c>
      <c r="I21" s="7" t="n">
        <v>970900</v>
      </c>
      <c r="J21" s="7" t="n">
        <v>52084</v>
      </c>
      <c r="K21" s="7" t="n">
        <v>4340</v>
      </c>
      <c r="L21" s="7" t="n">
        <v>1750</v>
      </c>
    </row>
    <row r="22" customFormat="false" ht="15" hidden="false" customHeight="false" outlineLevel="0" collapsed="false">
      <c r="A22" s="8" t="s">
        <v>34</v>
      </c>
      <c r="B22" s="8" t="s">
        <v>15</v>
      </c>
      <c r="C22" s="9" t="n">
        <v>73</v>
      </c>
      <c r="D22" s="8"/>
      <c r="E22" s="10" t="n">
        <v>0.015984</v>
      </c>
      <c r="F22" s="11" t="n">
        <v>2211000</v>
      </c>
      <c r="G22" s="11" t="n">
        <v>1364000</v>
      </c>
      <c r="H22" s="11" t="n">
        <v>3575000</v>
      </c>
      <c r="I22" s="11" t="n">
        <v>970900</v>
      </c>
      <c r="J22" s="11" t="n">
        <v>52084</v>
      </c>
      <c r="K22" s="11" t="n">
        <v>4340</v>
      </c>
      <c r="L22" s="11" t="n">
        <v>1750</v>
      </c>
    </row>
    <row r="23" customFormat="false" ht="15" hidden="false" customHeight="false" outlineLevel="0" collapsed="false">
      <c r="A23" s="4" t="s">
        <v>35</v>
      </c>
      <c r="B23" s="4" t="s">
        <v>19</v>
      </c>
      <c r="C23" s="5" t="n">
        <v>35</v>
      </c>
      <c r="D23" s="4"/>
      <c r="E23" s="6" t="n">
        <v>0.007664</v>
      </c>
      <c r="F23" s="7" t="n">
        <v>1060000</v>
      </c>
      <c r="G23" s="7" t="n">
        <v>770000</v>
      </c>
      <c r="H23" s="7" t="n">
        <v>1830000</v>
      </c>
      <c r="I23" s="7" t="n">
        <v>465500</v>
      </c>
      <c r="J23" s="7" t="n">
        <v>24972</v>
      </c>
      <c r="K23" s="7" t="n">
        <v>2081</v>
      </c>
      <c r="L23" s="7" t="n">
        <v>1050</v>
      </c>
    </row>
    <row r="24" customFormat="false" ht="15" hidden="false" customHeight="false" outlineLevel="0" collapsed="false">
      <c r="A24" s="8" t="s">
        <v>36</v>
      </c>
      <c r="B24" s="8" t="s">
        <v>19</v>
      </c>
      <c r="C24" s="9" t="n">
        <v>35</v>
      </c>
      <c r="D24" s="8"/>
      <c r="E24" s="10" t="n">
        <v>0.007664</v>
      </c>
      <c r="F24" s="11" t="n">
        <v>1060000</v>
      </c>
      <c r="G24" s="11" t="n">
        <v>770000</v>
      </c>
      <c r="H24" s="11" t="n">
        <v>1830000</v>
      </c>
      <c r="I24" s="11" t="n">
        <v>465500</v>
      </c>
      <c r="J24" s="11" t="n">
        <v>24972</v>
      </c>
      <c r="K24" s="11" t="n">
        <v>2081</v>
      </c>
      <c r="L24" s="11" t="n">
        <v>1050</v>
      </c>
    </row>
    <row r="25" customFormat="false" ht="15" hidden="false" customHeight="false" outlineLevel="0" collapsed="false">
      <c r="A25" s="4" t="s">
        <v>37</v>
      </c>
      <c r="B25" s="4" t="s">
        <v>15</v>
      </c>
      <c r="C25" s="5" t="n">
        <v>73</v>
      </c>
      <c r="D25" s="4"/>
      <c r="E25" s="6" t="n">
        <v>0.015984</v>
      </c>
      <c r="F25" s="7" t="n">
        <v>2211000</v>
      </c>
      <c r="G25" s="7" t="n">
        <v>1364000</v>
      </c>
      <c r="H25" s="7" t="n">
        <v>3575000</v>
      </c>
      <c r="I25" s="7" t="n">
        <v>970900</v>
      </c>
      <c r="J25" s="7" t="n">
        <v>52084</v>
      </c>
      <c r="K25" s="7" t="n">
        <v>4340</v>
      </c>
      <c r="L25" s="7" t="n">
        <v>1750</v>
      </c>
    </row>
    <row r="26" customFormat="false" ht="15" hidden="false" customHeight="false" outlineLevel="0" collapsed="false">
      <c r="A26" s="8" t="s">
        <v>38</v>
      </c>
      <c r="B26" s="8" t="s">
        <v>15</v>
      </c>
      <c r="C26" s="9" t="n">
        <v>73</v>
      </c>
      <c r="D26" s="8"/>
      <c r="E26" s="10" t="n">
        <v>0.015984</v>
      </c>
      <c r="F26" s="11" t="n">
        <v>2211000</v>
      </c>
      <c r="G26" s="11" t="n">
        <v>1414000</v>
      </c>
      <c r="H26" s="11" t="n">
        <v>3625000</v>
      </c>
      <c r="I26" s="11" t="n">
        <v>970900</v>
      </c>
      <c r="J26" s="11" t="n">
        <v>52084</v>
      </c>
      <c r="K26" s="11" t="n">
        <v>4340</v>
      </c>
      <c r="L26" s="11" t="n">
        <v>1750</v>
      </c>
    </row>
    <row r="27" customFormat="false" ht="15" hidden="false" customHeight="false" outlineLevel="0" collapsed="false">
      <c r="A27" s="4" t="s">
        <v>39</v>
      </c>
      <c r="B27" s="4" t="s">
        <v>19</v>
      </c>
      <c r="C27" s="5" t="n">
        <v>35</v>
      </c>
      <c r="D27" s="4"/>
      <c r="E27" s="6" t="n">
        <v>0.007664</v>
      </c>
      <c r="F27" s="7" t="n">
        <v>1060000</v>
      </c>
      <c r="G27" s="7" t="n">
        <v>800000</v>
      </c>
      <c r="H27" s="7" t="n">
        <v>1860000</v>
      </c>
      <c r="I27" s="7" t="n">
        <v>465500</v>
      </c>
      <c r="J27" s="7" t="n">
        <v>24972</v>
      </c>
      <c r="K27" s="7" t="n">
        <v>2081</v>
      </c>
      <c r="L27" s="7" t="n">
        <v>1050</v>
      </c>
    </row>
    <row r="28" customFormat="false" ht="15" hidden="false" customHeight="false" outlineLevel="0" collapsed="false">
      <c r="A28" s="8" t="s">
        <v>40</v>
      </c>
      <c r="B28" s="8" t="s">
        <v>19</v>
      </c>
      <c r="C28" s="9" t="n">
        <v>35</v>
      </c>
      <c r="D28" s="8"/>
      <c r="E28" s="10" t="n">
        <v>0.007664</v>
      </c>
      <c r="F28" s="11" t="n">
        <v>1060000</v>
      </c>
      <c r="G28" s="11" t="n">
        <v>800000</v>
      </c>
      <c r="H28" s="11" t="n">
        <v>1860000</v>
      </c>
      <c r="I28" s="11" t="n">
        <v>465500</v>
      </c>
      <c r="J28" s="11" t="n">
        <v>24972</v>
      </c>
      <c r="K28" s="11" t="n">
        <v>2081</v>
      </c>
      <c r="L28" s="11" t="n">
        <v>1050</v>
      </c>
    </row>
    <row r="29" customFormat="false" ht="15" hidden="false" customHeight="false" outlineLevel="0" collapsed="false">
      <c r="A29" s="4" t="s">
        <v>41</v>
      </c>
      <c r="B29" s="4" t="s">
        <v>15</v>
      </c>
      <c r="C29" s="5" t="n">
        <v>73</v>
      </c>
      <c r="D29" s="4"/>
      <c r="E29" s="6" t="n">
        <v>0.015984</v>
      </c>
      <c r="F29" s="7" t="n">
        <v>2211000</v>
      </c>
      <c r="G29" s="7" t="n">
        <v>1414000</v>
      </c>
      <c r="H29" s="7" t="n">
        <v>3625000</v>
      </c>
      <c r="I29" s="7" t="n">
        <v>970900</v>
      </c>
      <c r="J29" s="7" t="n">
        <v>52084</v>
      </c>
      <c r="K29" s="7" t="n">
        <v>4340</v>
      </c>
      <c r="L29" s="7" t="n">
        <v>1750</v>
      </c>
    </row>
    <row r="30" customFormat="false" ht="15" hidden="false" customHeight="false" outlineLevel="0" collapsed="false">
      <c r="A30" s="8" t="s">
        <v>42</v>
      </c>
      <c r="B30" s="8" t="s">
        <v>15</v>
      </c>
      <c r="C30" s="9" t="n">
        <v>73</v>
      </c>
      <c r="D30" s="8"/>
      <c r="E30" s="10" t="n">
        <v>0.015984</v>
      </c>
      <c r="F30" s="11" t="n">
        <v>2211000</v>
      </c>
      <c r="G30" s="11" t="n">
        <v>1514000</v>
      </c>
      <c r="H30" s="11" t="n">
        <v>3725000</v>
      </c>
      <c r="I30" s="11" t="n">
        <v>970900</v>
      </c>
      <c r="J30" s="11" t="n">
        <v>52084</v>
      </c>
      <c r="K30" s="11" t="n">
        <v>4340</v>
      </c>
      <c r="L30" s="11" t="n">
        <v>1750</v>
      </c>
    </row>
    <row r="31" customFormat="false" ht="15" hidden="false" customHeight="false" outlineLevel="0" collapsed="false">
      <c r="A31" s="4" t="s">
        <v>43</v>
      </c>
      <c r="B31" s="4" t="s">
        <v>19</v>
      </c>
      <c r="C31" s="5" t="n">
        <v>35</v>
      </c>
      <c r="D31" s="4"/>
      <c r="E31" s="6" t="n">
        <v>0.007664</v>
      </c>
      <c r="F31" s="7" t="n">
        <v>1060000</v>
      </c>
      <c r="G31" s="7" t="n">
        <v>860000</v>
      </c>
      <c r="H31" s="7" t="n">
        <v>1920000</v>
      </c>
      <c r="I31" s="7" t="n">
        <v>465500</v>
      </c>
      <c r="J31" s="7" t="n">
        <v>24972</v>
      </c>
      <c r="K31" s="7" t="n">
        <v>2081</v>
      </c>
      <c r="L31" s="7" t="n">
        <v>1050</v>
      </c>
    </row>
    <row r="32" customFormat="false" ht="15" hidden="false" customHeight="false" outlineLevel="0" collapsed="false">
      <c r="A32" s="8" t="s">
        <v>44</v>
      </c>
      <c r="B32" s="8" t="s">
        <v>19</v>
      </c>
      <c r="C32" s="9" t="n">
        <v>35</v>
      </c>
      <c r="D32" s="8"/>
      <c r="E32" s="10" t="n">
        <v>0.007664</v>
      </c>
      <c r="F32" s="11" t="n">
        <v>1060000</v>
      </c>
      <c r="G32" s="11" t="n">
        <v>860000</v>
      </c>
      <c r="H32" s="11" t="n">
        <v>1920000</v>
      </c>
      <c r="I32" s="11" t="n">
        <v>465500</v>
      </c>
      <c r="J32" s="11" t="n">
        <v>24972</v>
      </c>
      <c r="K32" s="11" t="n">
        <v>2081</v>
      </c>
      <c r="L32" s="11" t="n">
        <v>1050</v>
      </c>
    </row>
    <row r="33" customFormat="false" ht="15" hidden="false" customHeight="false" outlineLevel="0" collapsed="false">
      <c r="A33" s="4" t="s">
        <v>45</v>
      </c>
      <c r="B33" s="4" t="s">
        <v>15</v>
      </c>
      <c r="C33" s="5" t="n">
        <v>73</v>
      </c>
      <c r="D33" s="4"/>
      <c r="E33" s="6" t="n">
        <v>0.015984</v>
      </c>
      <c r="F33" s="7" t="n">
        <v>2211000</v>
      </c>
      <c r="G33" s="7" t="n">
        <v>1514000</v>
      </c>
      <c r="H33" s="7" t="n">
        <v>3725000</v>
      </c>
      <c r="I33" s="7" t="n">
        <v>970900</v>
      </c>
      <c r="J33" s="7" t="n">
        <v>52084</v>
      </c>
      <c r="K33" s="7" t="n">
        <v>4340</v>
      </c>
      <c r="L33" s="7" t="n">
        <v>1750</v>
      </c>
    </row>
    <row r="34" customFormat="false" ht="15" hidden="false" customHeight="false" outlineLevel="0" collapsed="false">
      <c r="A34" s="8" t="s">
        <v>46</v>
      </c>
      <c r="B34" s="8" t="s">
        <v>15</v>
      </c>
      <c r="C34" s="9" t="n">
        <v>66</v>
      </c>
      <c r="D34" s="8"/>
      <c r="E34" s="10" t="n">
        <v>0.014451</v>
      </c>
      <c r="F34" s="11" t="n">
        <v>1999000</v>
      </c>
      <c r="G34" s="11" t="n">
        <v>1156000</v>
      </c>
      <c r="H34" s="11" t="n">
        <v>3155000</v>
      </c>
      <c r="I34" s="11" t="n">
        <v>877800</v>
      </c>
      <c r="J34" s="11" t="n">
        <v>47090</v>
      </c>
      <c r="K34" s="11" t="n">
        <v>3924</v>
      </c>
      <c r="L34" s="11" t="n">
        <v>1750</v>
      </c>
    </row>
    <row r="35" customFormat="false" ht="15" hidden="false" customHeight="false" outlineLevel="0" collapsed="false">
      <c r="A35" s="4" t="s">
        <v>47</v>
      </c>
      <c r="B35" s="4" t="s">
        <v>19</v>
      </c>
      <c r="C35" s="5" t="n">
        <v>29</v>
      </c>
      <c r="D35" s="4"/>
      <c r="E35" s="6" t="n">
        <v>0.00635</v>
      </c>
      <c r="F35" s="7" t="n">
        <v>878000</v>
      </c>
      <c r="G35" s="7" t="n">
        <v>602000</v>
      </c>
      <c r="H35" s="7" t="n">
        <v>1480000</v>
      </c>
      <c r="I35" s="7" t="n">
        <v>385700</v>
      </c>
      <c r="J35" s="7" t="n">
        <v>20691</v>
      </c>
      <c r="K35" s="7" t="n">
        <v>1724</v>
      </c>
      <c r="L35" s="7" t="n">
        <v>1050</v>
      </c>
    </row>
    <row r="36" customFormat="false" ht="15" hidden="false" customHeight="false" outlineLevel="0" collapsed="false">
      <c r="A36" s="8" t="s">
        <v>48</v>
      </c>
      <c r="B36" s="8" t="s">
        <v>49</v>
      </c>
      <c r="C36" s="9" t="n">
        <v>48</v>
      </c>
      <c r="D36" s="8"/>
      <c r="E36" s="10" t="n">
        <v>0.01051</v>
      </c>
      <c r="F36" s="11" t="n">
        <v>1453000</v>
      </c>
      <c r="G36" s="11" t="n">
        <v>882000</v>
      </c>
      <c r="H36" s="11" t="n">
        <v>2335000</v>
      </c>
      <c r="I36" s="11" t="n">
        <v>638400</v>
      </c>
      <c r="J36" s="11" t="n">
        <v>34247</v>
      </c>
      <c r="K36" s="11" t="n">
        <v>2854</v>
      </c>
      <c r="L36" s="11" t="n">
        <v>1350</v>
      </c>
    </row>
    <row r="37" customFormat="false" ht="15" hidden="false" customHeight="false" outlineLevel="0" collapsed="false">
      <c r="A37" s="4" t="s">
        <v>50</v>
      </c>
      <c r="B37" s="4" t="s">
        <v>49</v>
      </c>
      <c r="C37" s="5" t="n">
        <v>59</v>
      </c>
      <c r="D37" s="4"/>
      <c r="E37" s="6" t="n">
        <v>0.012919</v>
      </c>
      <c r="F37" s="7" t="n">
        <v>1787000</v>
      </c>
      <c r="G37" s="7" t="n">
        <v>758000</v>
      </c>
      <c r="H37" s="7" t="n">
        <v>2545000</v>
      </c>
      <c r="I37" s="7" t="n">
        <v>784700</v>
      </c>
      <c r="J37" s="7" t="n">
        <v>42096</v>
      </c>
      <c r="K37" s="7" t="n">
        <v>3508</v>
      </c>
      <c r="L37" s="7" t="n">
        <v>1350</v>
      </c>
    </row>
    <row r="38" customFormat="false" ht="15" hidden="false" customHeight="false" outlineLevel="0" collapsed="false">
      <c r="A38" s="8" t="s">
        <v>51</v>
      </c>
      <c r="B38" s="8" t="s">
        <v>15</v>
      </c>
      <c r="C38" s="9" t="n">
        <v>66</v>
      </c>
      <c r="D38" s="8"/>
      <c r="E38" s="10" t="n">
        <v>0.014451</v>
      </c>
      <c r="F38" s="11" t="n">
        <v>1999000</v>
      </c>
      <c r="G38" s="11" t="n">
        <v>1206000</v>
      </c>
      <c r="H38" s="11" t="n">
        <v>3205000</v>
      </c>
      <c r="I38" s="11" t="n">
        <v>877800</v>
      </c>
      <c r="J38" s="11" t="n">
        <v>47090</v>
      </c>
      <c r="K38" s="11" t="n">
        <v>3924</v>
      </c>
      <c r="L38" s="11" t="n">
        <v>1750</v>
      </c>
    </row>
    <row r="39" customFormat="false" ht="15" hidden="false" customHeight="false" outlineLevel="0" collapsed="false">
      <c r="A39" s="4" t="s">
        <v>52</v>
      </c>
      <c r="B39" s="4" t="s">
        <v>19</v>
      </c>
      <c r="C39" s="5" t="n">
        <v>29</v>
      </c>
      <c r="D39" s="4"/>
      <c r="E39" s="6" t="n">
        <v>0.00635</v>
      </c>
      <c r="F39" s="7" t="n">
        <v>878000</v>
      </c>
      <c r="G39" s="7" t="n">
        <v>632000</v>
      </c>
      <c r="H39" s="7" t="n">
        <v>1510000</v>
      </c>
      <c r="I39" s="7" t="n">
        <v>385700</v>
      </c>
      <c r="J39" s="7" t="n">
        <v>20691</v>
      </c>
      <c r="K39" s="7" t="n">
        <v>1724</v>
      </c>
      <c r="L39" s="7" t="n">
        <v>1050</v>
      </c>
    </row>
    <row r="40" customFormat="false" ht="15" hidden="false" customHeight="false" outlineLevel="0" collapsed="false">
      <c r="A40" s="8" t="s">
        <v>53</v>
      </c>
      <c r="B40" s="8" t="s">
        <v>49</v>
      </c>
      <c r="C40" s="9" t="n">
        <v>48</v>
      </c>
      <c r="D40" s="8"/>
      <c r="E40" s="10" t="n">
        <v>0.01051</v>
      </c>
      <c r="F40" s="11" t="n">
        <v>1453000</v>
      </c>
      <c r="G40" s="11" t="n">
        <v>932000</v>
      </c>
      <c r="H40" s="11" t="n">
        <v>2385000</v>
      </c>
      <c r="I40" s="11" t="n">
        <v>638400</v>
      </c>
      <c r="J40" s="11" t="n">
        <v>34247</v>
      </c>
      <c r="K40" s="11" t="n">
        <v>2854</v>
      </c>
      <c r="L40" s="11" t="n">
        <v>1350</v>
      </c>
    </row>
    <row r="41" customFormat="false" ht="15" hidden="false" customHeight="false" outlineLevel="0" collapsed="false">
      <c r="A41" s="4" t="s">
        <v>54</v>
      </c>
      <c r="B41" s="4" t="s">
        <v>49</v>
      </c>
      <c r="C41" s="5" t="n">
        <v>59</v>
      </c>
      <c r="D41" s="4"/>
      <c r="E41" s="6" t="n">
        <v>0.012919</v>
      </c>
      <c r="F41" s="7" t="n">
        <v>1787000</v>
      </c>
      <c r="G41" s="7" t="n">
        <v>808000</v>
      </c>
      <c r="H41" s="7" t="n">
        <v>2595000</v>
      </c>
      <c r="I41" s="7" t="n">
        <v>784700</v>
      </c>
      <c r="J41" s="7" t="n">
        <v>42096</v>
      </c>
      <c r="K41" s="7" t="n">
        <v>3508</v>
      </c>
      <c r="L41" s="7" t="n">
        <v>1350</v>
      </c>
    </row>
    <row r="42" customFormat="false" ht="15" hidden="false" customHeight="false" outlineLevel="0" collapsed="false">
      <c r="A42" s="8" t="s">
        <v>55</v>
      </c>
      <c r="B42" s="8" t="s">
        <v>15</v>
      </c>
      <c r="C42" s="9" t="n">
        <v>66</v>
      </c>
      <c r="D42" s="8"/>
      <c r="E42" s="10" t="n">
        <v>0.014451</v>
      </c>
      <c r="F42" s="11" t="n">
        <v>1999000</v>
      </c>
      <c r="G42" s="11" t="n">
        <v>1256000</v>
      </c>
      <c r="H42" s="11" t="n">
        <v>3255000</v>
      </c>
      <c r="I42" s="11" t="n">
        <v>877800</v>
      </c>
      <c r="J42" s="11" t="n">
        <v>47090</v>
      </c>
      <c r="K42" s="11" t="n">
        <v>3924</v>
      </c>
      <c r="L42" s="11" t="n">
        <v>1750</v>
      </c>
    </row>
    <row r="43" customFormat="false" ht="15" hidden="false" customHeight="false" outlineLevel="0" collapsed="false">
      <c r="A43" s="4" t="s">
        <v>56</v>
      </c>
      <c r="B43" s="4" t="s">
        <v>19</v>
      </c>
      <c r="C43" s="5" t="n">
        <v>29</v>
      </c>
      <c r="D43" s="4"/>
      <c r="E43" s="6" t="n">
        <v>0.00635</v>
      </c>
      <c r="F43" s="7" t="n">
        <v>878000</v>
      </c>
      <c r="G43" s="7" t="n">
        <v>662000</v>
      </c>
      <c r="H43" s="7" t="n">
        <v>1540000</v>
      </c>
      <c r="I43" s="7" t="n">
        <v>385700</v>
      </c>
      <c r="J43" s="7" t="n">
        <v>20691</v>
      </c>
      <c r="K43" s="7" t="n">
        <v>1724</v>
      </c>
      <c r="L43" s="7" t="n">
        <v>1050</v>
      </c>
    </row>
    <row r="44" customFormat="false" ht="15" hidden="false" customHeight="false" outlineLevel="0" collapsed="false">
      <c r="A44" s="8" t="s">
        <v>57</v>
      </c>
      <c r="B44" s="8" t="s">
        <v>49</v>
      </c>
      <c r="C44" s="9" t="n">
        <v>48</v>
      </c>
      <c r="D44" s="8"/>
      <c r="E44" s="10" t="n">
        <v>0.01051</v>
      </c>
      <c r="F44" s="11" t="n">
        <v>1453000</v>
      </c>
      <c r="G44" s="11" t="n">
        <v>982000</v>
      </c>
      <c r="H44" s="11" t="n">
        <v>2435000</v>
      </c>
      <c r="I44" s="11" t="n">
        <v>638400</v>
      </c>
      <c r="J44" s="11" t="n">
        <v>34247</v>
      </c>
      <c r="K44" s="11" t="n">
        <v>2854</v>
      </c>
      <c r="L44" s="11" t="n">
        <v>1350</v>
      </c>
    </row>
    <row r="45" customFormat="false" ht="15" hidden="false" customHeight="false" outlineLevel="0" collapsed="false">
      <c r="A45" s="4" t="s">
        <v>58</v>
      </c>
      <c r="B45" s="4" t="s">
        <v>49</v>
      </c>
      <c r="C45" s="5" t="n">
        <v>59</v>
      </c>
      <c r="D45" s="4"/>
      <c r="E45" s="6" t="n">
        <v>0.012919</v>
      </c>
      <c r="F45" s="7" t="n">
        <v>1787000</v>
      </c>
      <c r="G45" s="7" t="n">
        <v>858000</v>
      </c>
      <c r="H45" s="7" t="n">
        <v>2645000</v>
      </c>
      <c r="I45" s="7" t="n">
        <v>784700</v>
      </c>
      <c r="J45" s="7" t="n">
        <v>42096</v>
      </c>
      <c r="K45" s="7" t="n">
        <v>3508</v>
      </c>
      <c r="L45" s="7" t="n">
        <v>1350</v>
      </c>
    </row>
    <row r="46" customFormat="false" ht="15" hidden="false" customHeight="false" outlineLevel="0" collapsed="false">
      <c r="A46" s="8" t="s">
        <v>59</v>
      </c>
      <c r="B46" s="8" t="s">
        <v>15</v>
      </c>
      <c r="C46" s="9" t="n">
        <v>66</v>
      </c>
      <c r="D46" s="8"/>
      <c r="E46" s="10" t="n">
        <v>0.014451</v>
      </c>
      <c r="F46" s="11" t="n">
        <v>1999000</v>
      </c>
      <c r="G46" s="11" t="n">
        <v>1306000</v>
      </c>
      <c r="H46" s="11" t="n">
        <v>3305000</v>
      </c>
      <c r="I46" s="11" t="n">
        <v>877800</v>
      </c>
      <c r="J46" s="11" t="n">
        <v>47090</v>
      </c>
      <c r="K46" s="11" t="n">
        <v>3924</v>
      </c>
      <c r="L46" s="11" t="n">
        <v>1750</v>
      </c>
    </row>
    <row r="47" customFormat="false" ht="15" hidden="false" customHeight="false" outlineLevel="0" collapsed="false">
      <c r="A47" s="4" t="s">
        <v>60</v>
      </c>
      <c r="B47" s="4" t="s">
        <v>19</v>
      </c>
      <c r="C47" s="5" t="n">
        <v>29</v>
      </c>
      <c r="D47" s="4"/>
      <c r="E47" s="6" t="n">
        <v>0.00635</v>
      </c>
      <c r="F47" s="7" t="n">
        <v>878000</v>
      </c>
      <c r="G47" s="7" t="n">
        <v>692000</v>
      </c>
      <c r="H47" s="7" t="n">
        <v>1570000</v>
      </c>
      <c r="I47" s="7" t="n">
        <v>385700</v>
      </c>
      <c r="J47" s="7" t="n">
        <v>20691</v>
      </c>
      <c r="K47" s="7" t="n">
        <v>1724</v>
      </c>
      <c r="L47" s="7" t="n">
        <v>1050</v>
      </c>
    </row>
    <row r="48" customFormat="false" ht="15" hidden="false" customHeight="false" outlineLevel="0" collapsed="false">
      <c r="A48" s="8" t="s">
        <v>61</v>
      </c>
      <c r="B48" s="8" t="s">
        <v>49</v>
      </c>
      <c r="C48" s="9" t="n">
        <v>48</v>
      </c>
      <c r="D48" s="8"/>
      <c r="E48" s="10" t="n">
        <v>0.01051</v>
      </c>
      <c r="F48" s="11" t="n">
        <v>1453000</v>
      </c>
      <c r="G48" s="11" t="n">
        <v>1032000</v>
      </c>
      <c r="H48" s="11" t="n">
        <v>2485000</v>
      </c>
      <c r="I48" s="11" t="n">
        <v>638400</v>
      </c>
      <c r="J48" s="11" t="n">
        <v>34247</v>
      </c>
      <c r="K48" s="11" t="n">
        <v>2854</v>
      </c>
      <c r="L48" s="11" t="n">
        <v>1350</v>
      </c>
    </row>
    <row r="49" customFormat="false" ht="15" hidden="false" customHeight="false" outlineLevel="0" collapsed="false">
      <c r="A49" s="4" t="s">
        <v>62</v>
      </c>
      <c r="B49" s="4" t="s">
        <v>49</v>
      </c>
      <c r="C49" s="5" t="n">
        <v>59</v>
      </c>
      <c r="D49" s="4"/>
      <c r="E49" s="6" t="n">
        <v>0.012919</v>
      </c>
      <c r="F49" s="7" t="n">
        <v>1787000</v>
      </c>
      <c r="G49" s="7" t="n">
        <v>908000</v>
      </c>
      <c r="H49" s="7" t="n">
        <v>2695000</v>
      </c>
      <c r="I49" s="7" t="n">
        <v>784700</v>
      </c>
      <c r="J49" s="7" t="n">
        <v>42096</v>
      </c>
      <c r="K49" s="7" t="n">
        <v>3508</v>
      </c>
      <c r="L49" s="7" t="n">
        <v>1350</v>
      </c>
    </row>
    <row r="50" customFormat="false" ht="15" hidden="false" customHeight="false" outlineLevel="0" collapsed="false">
      <c r="A50" s="8" t="s">
        <v>63</v>
      </c>
      <c r="B50" s="8" t="s">
        <v>15</v>
      </c>
      <c r="C50" s="9" t="n">
        <v>66</v>
      </c>
      <c r="D50" s="8"/>
      <c r="E50" s="10" t="n">
        <v>0.014451</v>
      </c>
      <c r="F50" s="11" t="n">
        <v>1999000</v>
      </c>
      <c r="G50" s="11" t="n">
        <v>1356000</v>
      </c>
      <c r="H50" s="11" t="n">
        <v>3355000</v>
      </c>
      <c r="I50" s="11" t="n">
        <v>877800</v>
      </c>
      <c r="J50" s="11" t="n">
        <v>47090</v>
      </c>
      <c r="K50" s="11" t="n">
        <v>3924</v>
      </c>
      <c r="L50" s="11" t="n">
        <v>1750</v>
      </c>
    </row>
    <row r="51" customFormat="false" ht="15" hidden="false" customHeight="false" outlineLevel="0" collapsed="false">
      <c r="A51" s="4" t="s">
        <v>64</v>
      </c>
      <c r="B51" s="4" t="s">
        <v>19</v>
      </c>
      <c r="C51" s="5" t="n">
        <v>29</v>
      </c>
      <c r="D51" s="4"/>
      <c r="E51" s="6" t="n">
        <v>0.00635</v>
      </c>
      <c r="F51" s="7" t="n">
        <v>878000</v>
      </c>
      <c r="G51" s="7" t="n">
        <v>722000</v>
      </c>
      <c r="H51" s="7" t="n">
        <v>1600000</v>
      </c>
      <c r="I51" s="7" t="n">
        <v>385700</v>
      </c>
      <c r="J51" s="7" t="n">
        <v>20691</v>
      </c>
      <c r="K51" s="7" t="n">
        <v>1724</v>
      </c>
      <c r="L51" s="7" t="n">
        <v>1050</v>
      </c>
    </row>
    <row r="52" customFormat="false" ht="15" hidden="false" customHeight="false" outlineLevel="0" collapsed="false">
      <c r="A52" s="8" t="s">
        <v>65</v>
      </c>
      <c r="B52" s="8" t="s">
        <v>49</v>
      </c>
      <c r="C52" s="9" t="n">
        <v>48</v>
      </c>
      <c r="D52" s="8"/>
      <c r="E52" s="10" t="n">
        <v>0.01051</v>
      </c>
      <c r="F52" s="11" t="n">
        <v>1453000</v>
      </c>
      <c r="G52" s="11" t="n">
        <v>1082000</v>
      </c>
      <c r="H52" s="11" t="n">
        <v>2535000</v>
      </c>
      <c r="I52" s="11" t="n">
        <v>638400</v>
      </c>
      <c r="J52" s="11" t="n">
        <v>34247</v>
      </c>
      <c r="K52" s="11" t="n">
        <v>2854</v>
      </c>
      <c r="L52" s="11" t="n">
        <v>1350</v>
      </c>
    </row>
    <row r="53" customFormat="false" ht="15" hidden="false" customHeight="false" outlineLevel="0" collapsed="false">
      <c r="A53" s="4" t="s">
        <v>66</v>
      </c>
      <c r="B53" s="4" t="s">
        <v>49</v>
      </c>
      <c r="C53" s="5" t="n">
        <v>59</v>
      </c>
      <c r="D53" s="4"/>
      <c r="E53" s="6" t="n">
        <v>0.012919</v>
      </c>
      <c r="F53" s="7" t="n">
        <v>1787000</v>
      </c>
      <c r="G53" s="7" t="n">
        <v>958000</v>
      </c>
      <c r="H53" s="7" t="n">
        <v>2745000</v>
      </c>
      <c r="I53" s="7" t="n">
        <v>784700</v>
      </c>
      <c r="J53" s="7" t="n">
        <v>42096</v>
      </c>
      <c r="K53" s="7" t="n">
        <v>3508</v>
      </c>
      <c r="L53" s="7" t="n">
        <v>1350</v>
      </c>
    </row>
    <row r="54" customFormat="false" ht="15" hidden="false" customHeight="false" outlineLevel="0" collapsed="false">
      <c r="A54" s="8" t="s">
        <v>67</v>
      </c>
      <c r="B54" s="8" t="s">
        <v>15</v>
      </c>
      <c r="C54" s="9" t="n">
        <v>66</v>
      </c>
      <c r="D54" s="8"/>
      <c r="E54" s="10" t="n">
        <v>0.014451</v>
      </c>
      <c r="F54" s="11" t="n">
        <v>1999000</v>
      </c>
      <c r="G54" s="11" t="n">
        <v>1406000</v>
      </c>
      <c r="H54" s="11" t="n">
        <v>3405000</v>
      </c>
      <c r="I54" s="11" t="n">
        <v>877800</v>
      </c>
      <c r="J54" s="11" t="n">
        <v>47090</v>
      </c>
      <c r="K54" s="11" t="n">
        <v>3924</v>
      </c>
      <c r="L54" s="11" t="n">
        <v>1750</v>
      </c>
    </row>
    <row r="55" customFormat="false" ht="15" hidden="false" customHeight="false" outlineLevel="0" collapsed="false">
      <c r="A55" s="4" t="s">
        <v>68</v>
      </c>
      <c r="B55" s="4" t="s">
        <v>19</v>
      </c>
      <c r="C55" s="5" t="n">
        <v>29</v>
      </c>
      <c r="D55" s="4"/>
      <c r="E55" s="6" t="n">
        <v>0.00635</v>
      </c>
      <c r="F55" s="7" t="n">
        <v>878000</v>
      </c>
      <c r="G55" s="7" t="n">
        <v>752000</v>
      </c>
      <c r="H55" s="7" t="n">
        <v>1630000</v>
      </c>
      <c r="I55" s="7" t="n">
        <v>385700</v>
      </c>
      <c r="J55" s="7" t="n">
        <v>20691</v>
      </c>
      <c r="K55" s="7" t="n">
        <v>1724</v>
      </c>
      <c r="L55" s="7" t="n">
        <v>1050</v>
      </c>
    </row>
    <row r="56" customFormat="false" ht="15" hidden="false" customHeight="false" outlineLevel="0" collapsed="false">
      <c r="A56" s="8" t="s">
        <v>69</v>
      </c>
      <c r="B56" s="8" t="s">
        <v>49</v>
      </c>
      <c r="C56" s="9" t="n">
        <v>48</v>
      </c>
      <c r="D56" s="8"/>
      <c r="E56" s="10" t="n">
        <v>0.01051</v>
      </c>
      <c r="F56" s="11" t="n">
        <v>1453000</v>
      </c>
      <c r="G56" s="11" t="n">
        <v>1132000</v>
      </c>
      <c r="H56" s="11" t="n">
        <v>2585000</v>
      </c>
      <c r="I56" s="11" t="n">
        <v>638400</v>
      </c>
      <c r="J56" s="11" t="n">
        <v>34247</v>
      </c>
      <c r="K56" s="11" t="n">
        <v>2854</v>
      </c>
      <c r="L56" s="11" t="n">
        <v>1350</v>
      </c>
    </row>
    <row r="57" customFormat="false" ht="15" hidden="false" customHeight="false" outlineLevel="0" collapsed="false">
      <c r="A57" s="4" t="s">
        <v>70</v>
      </c>
      <c r="B57" s="4" t="s">
        <v>49</v>
      </c>
      <c r="C57" s="5" t="n">
        <v>59</v>
      </c>
      <c r="D57" s="4"/>
      <c r="E57" s="6" t="n">
        <v>0.012919</v>
      </c>
      <c r="F57" s="7" t="n">
        <v>1787000</v>
      </c>
      <c r="G57" s="7" t="n">
        <v>1008000</v>
      </c>
      <c r="H57" s="7" t="n">
        <v>2795000</v>
      </c>
      <c r="I57" s="7" t="n">
        <v>784700</v>
      </c>
      <c r="J57" s="7" t="n">
        <v>42096</v>
      </c>
      <c r="K57" s="7" t="n">
        <v>3508</v>
      </c>
      <c r="L57" s="7" t="n">
        <v>1350</v>
      </c>
    </row>
    <row r="58" customFormat="false" ht="15" hidden="false" customHeight="false" outlineLevel="0" collapsed="false">
      <c r="A58" s="8" t="s">
        <v>71</v>
      </c>
      <c r="B58" s="8" t="s">
        <v>15</v>
      </c>
      <c r="C58" s="9" t="n">
        <v>66</v>
      </c>
      <c r="D58" s="8"/>
      <c r="E58" s="10" t="n">
        <v>0.014451</v>
      </c>
      <c r="F58" s="11" t="n">
        <v>1999000</v>
      </c>
      <c r="G58" s="11" t="n">
        <v>1456000</v>
      </c>
      <c r="H58" s="11" t="n">
        <v>3455000</v>
      </c>
      <c r="I58" s="11" t="n">
        <v>877800</v>
      </c>
      <c r="J58" s="11" t="n">
        <v>47090</v>
      </c>
      <c r="K58" s="11" t="n">
        <v>3924</v>
      </c>
      <c r="L58" s="11" t="n">
        <v>1750</v>
      </c>
    </row>
    <row r="59" customFormat="false" ht="15" hidden="false" customHeight="false" outlineLevel="0" collapsed="false">
      <c r="A59" s="4" t="s">
        <v>72</v>
      </c>
      <c r="B59" s="4" t="s">
        <v>19</v>
      </c>
      <c r="C59" s="5" t="n">
        <v>29</v>
      </c>
      <c r="D59" s="4"/>
      <c r="E59" s="6" t="n">
        <v>0.00635</v>
      </c>
      <c r="F59" s="7" t="n">
        <v>878000</v>
      </c>
      <c r="G59" s="7" t="n">
        <v>792000</v>
      </c>
      <c r="H59" s="7" t="n">
        <v>1670000</v>
      </c>
      <c r="I59" s="7" t="n">
        <v>385700</v>
      </c>
      <c r="J59" s="7" t="n">
        <v>20691</v>
      </c>
      <c r="K59" s="7" t="n">
        <v>1724</v>
      </c>
      <c r="L59" s="7" t="n">
        <v>1050</v>
      </c>
    </row>
    <row r="60" customFormat="false" ht="15" hidden="false" customHeight="false" outlineLevel="0" collapsed="false">
      <c r="A60" s="8" t="s">
        <v>73</v>
      </c>
      <c r="B60" s="8" t="s">
        <v>49</v>
      </c>
      <c r="C60" s="9" t="n">
        <v>48</v>
      </c>
      <c r="D60" s="8"/>
      <c r="E60" s="10" t="n">
        <v>0.01051</v>
      </c>
      <c r="F60" s="11" t="n">
        <v>1453000</v>
      </c>
      <c r="G60" s="11" t="n">
        <v>1232000</v>
      </c>
      <c r="H60" s="11" t="n">
        <v>2685000</v>
      </c>
      <c r="I60" s="11" t="n">
        <v>638400</v>
      </c>
      <c r="J60" s="11" t="n">
        <v>34247</v>
      </c>
      <c r="K60" s="11" t="n">
        <v>2854</v>
      </c>
      <c r="L60" s="11" t="n">
        <v>1350</v>
      </c>
    </row>
    <row r="61" customFormat="false" ht="15" hidden="false" customHeight="false" outlineLevel="0" collapsed="false">
      <c r="A61" s="4" t="s">
        <v>74</v>
      </c>
      <c r="B61" s="4" t="s">
        <v>49</v>
      </c>
      <c r="C61" s="5" t="n">
        <v>59</v>
      </c>
      <c r="D61" s="4"/>
      <c r="E61" s="6" t="n">
        <v>0.012919</v>
      </c>
      <c r="F61" s="7" t="n">
        <v>1787000</v>
      </c>
      <c r="G61" s="7" t="n">
        <v>1108000</v>
      </c>
      <c r="H61" s="7" t="n">
        <v>2895000</v>
      </c>
      <c r="I61" s="7" t="n">
        <v>784700</v>
      </c>
      <c r="J61" s="7" t="n">
        <v>42096</v>
      </c>
      <c r="K61" s="7" t="n">
        <v>3508</v>
      </c>
      <c r="L61" s="7" t="n">
        <v>1350</v>
      </c>
    </row>
    <row r="62" customFormat="false" ht="15" hidden="false" customHeight="false" outlineLevel="0" collapsed="false">
      <c r="A62" s="8" t="s">
        <v>75</v>
      </c>
      <c r="B62" s="8" t="s">
        <v>19</v>
      </c>
      <c r="C62" s="9" t="n">
        <v>35</v>
      </c>
      <c r="D62" s="8"/>
      <c r="E62" s="10" t="n">
        <v>0.007664</v>
      </c>
      <c r="F62" s="11" t="n">
        <v>1060000</v>
      </c>
      <c r="G62" s="11" t="n">
        <v>485000</v>
      </c>
      <c r="H62" s="11" t="n">
        <v>1545000</v>
      </c>
      <c r="I62" s="11" t="n">
        <v>465500</v>
      </c>
      <c r="J62" s="11" t="n">
        <v>24972</v>
      </c>
      <c r="K62" s="11" t="n">
        <v>2081</v>
      </c>
      <c r="L62" s="11" t="n">
        <v>1050</v>
      </c>
    </row>
    <row r="63" customFormat="false" ht="15" hidden="false" customHeight="false" outlineLevel="0" collapsed="false">
      <c r="A63" s="4" t="s">
        <v>76</v>
      </c>
      <c r="B63" s="4" t="s">
        <v>49</v>
      </c>
      <c r="C63" s="5" t="n">
        <v>52</v>
      </c>
      <c r="D63" s="4"/>
      <c r="E63" s="6" t="n">
        <v>0.011386</v>
      </c>
      <c r="F63" s="7" t="n">
        <v>1575000</v>
      </c>
      <c r="G63" s="7" t="n">
        <v>870000</v>
      </c>
      <c r="H63" s="7" t="n">
        <v>2445000</v>
      </c>
      <c r="I63" s="7" t="n">
        <v>691600</v>
      </c>
      <c r="J63" s="7" t="n">
        <v>37101</v>
      </c>
      <c r="K63" s="7" t="n">
        <v>3092</v>
      </c>
      <c r="L63" s="7" t="n">
        <v>1350</v>
      </c>
    </row>
    <row r="64" customFormat="false" ht="15" hidden="false" customHeight="false" outlineLevel="0" collapsed="false">
      <c r="A64" s="8" t="s">
        <v>77</v>
      </c>
      <c r="B64" s="8" t="s">
        <v>19</v>
      </c>
      <c r="C64" s="9" t="n">
        <v>35</v>
      </c>
      <c r="D64" s="8"/>
      <c r="E64" s="10" t="n">
        <v>0.007664</v>
      </c>
      <c r="F64" s="11" t="n">
        <v>1060000</v>
      </c>
      <c r="G64" s="11" t="n">
        <v>775000</v>
      </c>
      <c r="H64" s="11" t="n">
        <v>1835000</v>
      </c>
      <c r="I64" s="11" t="n">
        <v>465500</v>
      </c>
      <c r="J64" s="11" t="n">
        <v>24972</v>
      </c>
      <c r="K64" s="11" t="n">
        <v>2081</v>
      </c>
      <c r="L64" s="11" t="n">
        <v>1050</v>
      </c>
    </row>
    <row r="65" customFormat="false" ht="15" hidden="false" customHeight="false" outlineLevel="0" collapsed="false">
      <c r="A65" s="4" t="s">
        <v>78</v>
      </c>
      <c r="B65" s="4" t="s">
        <v>79</v>
      </c>
      <c r="C65" s="5" t="n">
        <v>86</v>
      </c>
      <c r="D65" s="4"/>
      <c r="E65" s="6" t="n">
        <v>0.018831</v>
      </c>
      <c r="F65" s="7" t="n">
        <v>2604000</v>
      </c>
      <c r="G65" s="7" t="n">
        <v>1191000</v>
      </c>
      <c r="H65" s="7" t="n">
        <v>3795000</v>
      </c>
      <c r="I65" s="7" t="n">
        <v>1143800</v>
      </c>
      <c r="J65" s="7" t="n">
        <v>61360</v>
      </c>
      <c r="K65" s="7" t="n">
        <v>5113</v>
      </c>
      <c r="L65" s="7" t="n">
        <v>2050</v>
      </c>
    </row>
    <row r="66" customFormat="false" ht="15" hidden="false" customHeight="false" outlineLevel="0" collapsed="false">
      <c r="A66" s="8" t="s">
        <v>80</v>
      </c>
      <c r="B66" s="8" t="s">
        <v>49</v>
      </c>
      <c r="C66" s="9" t="n">
        <v>52</v>
      </c>
      <c r="D66" s="8"/>
      <c r="E66" s="10" t="n">
        <v>0.011386</v>
      </c>
      <c r="F66" s="11" t="n">
        <v>1575000</v>
      </c>
      <c r="G66" s="11" t="n">
        <v>920000</v>
      </c>
      <c r="H66" s="11" t="n">
        <v>2495000</v>
      </c>
      <c r="I66" s="11" t="n">
        <v>691600</v>
      </c>
      <c r="J66" s="11" t="n">
        <v>37101</v>
      </c>
      <c r="K66" s="11" t="n">
        <v>3092</v>
      </c>
      <c r="L66" s="11" t="n">
        <v>1350</v>
      </c>
    </row>
    <row r="67" customFormat="false" ht="15" hidden="false" customHeight="false" outlineLevel="0" collapsed="false">
      <c r="A67" s="4" t="s">
        <v>81</v>
      </c>
      <c r="B67" s="4" t="s">
        <v>19</v>
      </c>
      <c r="C67" s="5" t="n">
        <v>35</v>
      </c>
      <c r="D67" s="4"/>
      <c r="E67" s="6" t="n">
        <v>0.007664</v>
      </c>
      <c r="F67" s="7" t="n">
        <v>1060000</v>
      </c>
      <c r="G67" s="7" t="n">
        <v>805000</v>
      </c>
      <c r="H67" s="7" t="n">
        <v>1865000</v>
      </c>
      <c r="I67" s="7" t="n">
        <v>465500</v>
      </c>
      <c r="J67" s="7" t="n">
        <v>24972</v>
      </c>
      <c r="K67" s="7" t="n">
        <v>2081</v>
      </c>
      <c r="L67" s="7" t="n">
        <v>1050</v>
      </c>
    </row>
    <row r="68" customFormat="false" ht="15" hidden="false" customHeight="false" outlineLevel="0" collapsed="false">
      <c r="A68" s="8" t="s">
        <v>82</v>
      </c>
      <c r="B68" s="8" t="s">
        <v>79</v>
      </c>
      <c r="C68" s="9" t="n">
        <v>86</v>
      </c>
      <c r="D68" s="8"/>
      <c r="E68" s="10" t="n">
        <v>0.018831</v>
      </c>
      <c r="F68" s="11" t="n">
        <v>2604000</v>
      </c>
      <c r="G68" s="11" t="n">
        <v>1246000</v>
      </c>
      <c r="H68" s="11" t="n">
        <v>3850000</v>
      </c>
      <c r="I68" s="11" t="n">
        <v>1143800</v>
      </c>
      <c r="J68" s="11" t="n">
        <v>61360</v>
      </c>
      <c r="K68" s="11" t="n">
        <v>5113</v>
      </c>
      <c r="L68" s="11" t="n">
        <v>2050</v>
      </c>
    </row>
    <row r="69" customFormat="false" ht="15" hidden="false" customHeight="false" outlineLevel="0" collapsed="false">
      <c r="A69" s="4" t="s">
        <v>83</v>
      </c>
      <c r="B69" s="4" t="s">
        <v>49</v>
      </c>
      <c r="C69" s="5" t="n">
        <v>52</v>
      </c>
      <c r="D69" s="4"/>
      <c r="E69" s="6" t="n">
        <v>0.011386</v>
      </c>
      <c r="F69" s="7" t="n">
        <v>1575000</v>
      </c>
      <c r="G69" s="7" t="n">
        <v>970000</v>
      </c>
      <c r="H69" s="7" t="n">
        <v>2545000</v>
      </c>
      <c r="I69" s="7" t="n">
        <v>691600</v>
      </c>
      <c r="J69" s="7" t="n">
        <v>37101</v>
      </c>
      <c r="K69" s="7" t="n">
        <v>3092</v>
      </c>
      <c r="L69" s="7" t="n">
        <v>1350</v>
      </c>
    </row>
    <row r="70" customFormat="false" ht="15" hidden="false" customHeight="false" outlineLevel="0" collapsed="false">
      <c r="A70" s="8" t="s">
        <v>84</v>
      </c>
      <c r="B70" s="8" t="s">
        <v>19</v>
      </c>
      <c r="C70" s="9" t="n">
        <v>35</v>
      </c>
      <c r="D70" s="8"/>
      <c r="E70" s="10" t="n">
        <v>0.007664</v>
      </c>
      <c r="F70" s="11" t="n">
        <v>1060000</v>
      </c>
      <c r="G70" s="11" t="n">
        <v>835000</v>
      </c>
      <c r="H70" s="11" t="n">
        <v>1895000</v>
      </c>
      <c r="I70" s="11" t="n">
        <v>465500</v>
      </c>
      <c r="J70" s="11" t="n">
        <v>24972</v>
      </c>
      <c r="K70" s="11" t="n">
        <v>2081</v>
      </c>
      <c r="L70" s="11" t="n">
        <v>1050</v>
      </c>
    </row>
    <row r="71" customFormat="false" ht="15" hidden="false" customHeight="false" outlineLevel="0" collapsed="false">
      <c r="A71" s="4" t="s">
        <v>85</v>
      </c>
      <c r="B71" s="4" t="s">
        <v>79</v>
      </c>
      <c r="C71" s="5" t="n">
        <v>86</v>
      </c>
      <c r="D71" s="4"/>
      <c r="E71" s="6" t="n">
        <v>0.018831</v>
      </c>
      <c r="F71" s="7" t="n">
        <v>2604000</v>
      </c>
      <c r="G71" s="7" t="n">
        <v>1306000</v>
      </c>
      <c r="H71" s="7" t="n">
        <v>3910000</v>
      </c>
      <c r="I71" s="7" t="n">
        <v>1143800</v>
      </c>
      <c r="J71" s="7" t="n">
        <v>61360</v>
      </c>
      <c r="K71" s="7" t="n">
        <v>5113</v>
      </c>
      <c r="L71" s="7" t="n">
        <v>2050</v>
      </c>
    </row>
    <row r="72" customFormat="false" ht="15" hidden="false" customHeight="false" outlineLevel="0" collapsed="false">
      <c r="A72" s="8" t="s">
        <v>86</v>
      </c>
      <c r="B72" s="8" t="s">
        <v>49</v>
      </c>
      <c r="C72" s="9" t="n">
        <v>52</v>
      </c>
      <c r="D72" s="8"/>
      <c r="E72" s="10" t="n">
        <v>0.011386</v>
      </c>
      <c r="F72" s="11" t="n">
        <v>1575000</v>
      </c>
      <c r="G72" s="11" t="n">
        <v>1020000</v>
      </c>
      <c r="H72" s="11" t="n">
        <v>2595000</v>
      </c>
      <c r="I72" s="11" t="n">
        <v>691600</v>
      </c>
      <c r="J72" s="11" t="n">
        <v>37101</v>
      </c>
      <c r="K72" s="11" t="n">
        <v>3092</v>
      </c>
      <c r="L72" s="11" t="n">
        <v>1350</v>
      </c>
    </row>
    <row r="73" customFormat="false" ht="15" hidden="false" customHeight="false" outlineLevel="0" collapsed="false">
      <c r="A73" s="4" t="s">
        <v>87</v>
      </c>
      <c r="B73" s="4" t="s">
        <v>19</v>
      </c>
      <c r="C73" s="5" t="n">
        <v>35</v>
      </c>
      <c r="D73" s="4"/>
      <c r="E73" s="6" t="n">
        <v>0.007664</v>
      </c>
      <c r="F73" s="7" t="n">
        <v>1060000</v>
      </c>
      <c r="G73" s="7" t="n">
        <v>865000</v>
      </c>
      <c r="H73" s="7" t="n">
        <v>1925000</v>
      </c>
      <c r="I73" s="7" t="n">
        <v>465500</v>
      </c>
      <c r="J73" s="7" t="n">
        <v>24972</v>
      </c>
      <c r="K73" s="7" t="n">
        <v>2081</v>
      </c>
      <c r="L73" s="7" t="n">
        <v>1050</v>
      </c>
    </row>
    <row r="74" customFormat="false" ht="15" hidden="false" customHeight="false" outlineLevel="0" collapsed="false">
      <c r="A74" s="8" t="s">
        <v>88</v>
      </c>
      <c r="B74" s="8" t="s">
        <v>79</v>
      </c>
      <c r="C74" s="9" t="n">
        <v>86</v>
      </c>
      <c r="D74" s="8"/>
      <c r="E74" s="10" t="n">
        <v>0.018831</v>
      </c>
      <c r="F74" s="11" t="n">
        <v>2604000</v>
      </c>
      <c r="G74" s="11" t="n">
        <v>1366000</v>
      </c>
      <c r="H74" s="11" t="n">
        <v>3970000</v>
      </c>
      <c r="I74" s="11" t="n">
        <v>1143800</v>
      </c>
      <c r="J74" s="11" t="n">
        <v>61360</v>
      </c>
      <c r="K74" s="11" t="n">
        <v>5113</v>
      </c>
      <c r="L74" s="11" t="n">
        <v>2050</v>
      </c>
    </row>
    <row r="75" customFormat="false" ht="15" hidden="false" customHeight="false" outlineLevel="0" collapsed="false">
      <c r="A75" s="4" t="s">
        <v>89</v>
      </c>
      <c r="B75" s="4" t="s">
        <v>49</v>
      </c>
      <c r="C75" s="5" t="n">
        <v>52</v>
      </c>
      <c r="D75" s="4"/>
      <c r="E75" s="6" t="n">
        <v>0.011386</v>
      </c>
      <c r="F75" s="7" t="n">
        <v>1575000</v>
      </c>
      <c r="G75" s="7" t="n">
        <v>1070000</v>
      </c>
      <c r="H75" s="7" t="n">
        <v>2645000</v>
      </c>
      <c r="I75" s="7" t="n">
        <v>691600</v>
      </c>
      <c r="J75" s="7" t="n">
        <v>37101</v>
      </c>
      <c r="K75" s="7" t="n">
        <v>3092</v>
      </c>
      <c r="L75" s="7" t="n">
        <v>1350</v>
      </c>
    </row>
    <row r="76" customFormat="false" ht="15" hidden="false" customHeight="false" outlineLevel="0" collapsed="false">
      <c r="A76" s="8" t="s">
        <v>90</v>
      </c>
      <c r="B76" s="8" t="s">
        <v>19</v>
      </c>
      <c r="C76" s="9" t="n">
        <v>35</v>
      </c>
      <c r="D76" s="8"/>
      <c r="E76" s="10" t="n">
        <v>0.007664</v>
      </c>
      <c r="F76" s="11" t="n">
        <v>1060000</v>
      </c>
      <c r="G76" s="11" t="n">
        <v>895000</v>
      </c>
      <c r="H76" s="11" t="n">
        <v>1955000</v>
      </c>
      <c r="I76" s="11" t="n">
        <v>465500</v>
      </c>
      <c r="J76" s="11" t="n">
        <v>24972</v>
      </c>
      <c r="K76" s="11" t="n">
        <v>2081</v>
      </c>
      <c r="L76" s="11" t="n">
        <v>1050</v>
      </c>
    </row>
    <row r="77" customFormat="false" ht="15" hidden="false" customHeight="false" outlineLevel="0" collapsed="false">
      <c r="A77" s="4" t="s">
        <v>91</v>
      </c>
      <c r="B77" s="4" t="s">
        <v>79</v>
      </c>
      <c r="C77" s="5" t="n">
        <v>86</v>
      </c>
      <c r="D77" s="4"/>
      <c r="E77" s="6" t="n">
        <v>0.018831</v>
      </c>
      <c r="F77" s="7" t="n">
        <v>2604000</v>
      </c>
      <c r="G77" s="7" t="n">
        <v>1426000</v>
      </c>
      <c r="H77" s="7" t="n">
        <v>4030000</v>
      </c>
      <c r="I77" s="7" t="n">
        <v>1143800</v>
      </c>
      <c r="J77" s="7" t="n">
        <v>61360</v>
      </c>
      <c r="K77" s="7" t="n">
        <v>5113</v>
      </c>
      <c r="L77" s="7" t="n">
        <v>2050</v>
      </c>
    </row>
    <row r="78" customFormat="false" ht="15" hidden="false" customHeight="false" outlineLevel="0" collapsed="false">
      <c r="A78" s="8" t="s">
        <v>92</v>
      </c>
      <c r="B78" s="8" t="s">
        <v>49</v>
      </c>
      <c r="C78" s="9" t="n">
        <v>52</v>
      </c>
      <c r="D78" s="8"/>
      <c r="E78" s="10" t="n">
        <v>0.011386</v>
      </c>
      <c r="F78" s="11" t="n">
        <v>1575000</v>
      </c>
      <c r="G78" s="11" t="n">
        <v>1125000</v>
      </c>
      <c r="H78" s="11" t="n">
        <v>2700000</v>
      </c>
      <c r="I78" s="11" t="n">
        <v>691600</v>
      </c>
      <c r="J78" s="11" t="n">
        <v>37101</v>
      </c>
      <c r="K78" s="11" t="n">
        <v>3092</v>
      </c>
      <c r="L78" s="11" t="n">
        <v>1350</v>
      </c>
    </row>
    <row r="79" customFormat="false" ht="15" hidden="false" customHeight="false" outlineLevel="0" collapsed="false">
      <c r="A79" s="4" t="s">
        <v>93</v>
      </c>
      <c r="B79" s="4" t="s">
        <v>19</v>
      </c>
      <c r="C79" s="5" t="n">
        <v>35</v>
      </c>
      <c r="D79" s="4"/>
      <c r="E79" s="6" t="n">
        <v>0.007664</v>
      </c>
      <c r="F79" s="7" t="n">
        <v>1060000</v>
      </c>
      <c r="G79" s="7" t="n">
        <v>925000</v>
      </c>
      <c r="H79" s="7" t="n">
        <v>1985000</v>
      </c>
      <c r="I79" s="7" t="n">
        <v>465500</v>
      </c>
      <c r="J79" s="7" t="n">
        <v>24972</v>
      </c>
      <c r="K79" s="7" t="n">
        <v>2081</v>
      </c>
      <c r="L79" s="7" t="n">
        <v>1050</v>
      </c>
    </row>
    <row r="80" customFormat="false" ht="15" hidden="false" customHeight="false" outlineLevel="0" collapsed="false">
      <c r="A80" s="8" t="s">
        <v>94</v>
      </c>
      <c r="B80" s="8" t="s">
        <v>79</v>
      </c>
      <c r="C80" s="9" t="n">
        <v>86</v>
      </c>
      <c r="D80" s="8"/>
      <c r="E80" s="10" t="n">
        <v>0.018831</v>
      </c>
      <c r="F80" s="11" t="n">
        <v>2604000</v>
      </c>
      <c r="G80" s="11" t="n">
        <v>1486000</v>
      </c>
      <c r="H80" s="11" t="n">
        <v>4090000</v>
      </c>
      <c r="I80" s="11" t="n">
        <v>1143800</v>
      </c>
      <c r="J80" s="11" t="n">
        <v>61360</v>
      </c>
      <c r="K80" s="11" t="n">
        <v>5113</v>
      </c>
      <c r="L80" s="11" t="n">
        <v>2050</v>
      </c>
    </row>
    <row r="81" customFormat="false" ht="15" hidden="false" customHeight="false" outlineLevel="0" collapsed="false">
      <c r="A81" s="4" t="s">
        <v>95</v>
      </c>
      <c r="B81" s="4" t="s">
        <v>49</v>
      </c>
      <c r="C81" s="5" t="n">
        <v>52</v>
      </c>
      <c r="D81" s="4"/>
      <c r="E81" s="6" t="n">
        <v>0.011386</v>
      </c>
      <c r="F81" s="7" t="n">
        <v>1575000</v>
      </c>
      <c r="G81" s="7" t="n">
        <v>1180000</v>
      </c>
      <c r="H81" s="7" t="n">
        <v>2755000</v>
      </c>
      <c r="I81" s="7" t="n">
        <v>691600</v>
      </c>
      <c r="J81" s="7" t="n">
        <v>37101</v>
      </c>
      <c r="K81" s="7" t="n">
        <v>3092</v>
      </c>
      <c r="L81" s="7" t="n">
        <v>1350</v>
      </c>
    </row>
    <row r="82" customFormat="false" ht="15" hidden="false" customHeight="false" outlineLevel="0" collapsed="false">
      <c r="A82" s="8" t="s">
        <v>96</v>
      </c>
      <c r="B82" s="8" t="s">
        <v>19</v>
      </c>
      <c r="C82" s="9" t="n">
        <v>35</v>
      </c>
      <c r="D82" s="8"/>
      <c r="E82" s="10" t="n">
        <v>0.007664</v>
      </c>
      <c r="F82" s="11" t="n">
        <v>1060000</v>
      </c>
      <c r="G82" s="11" t="n">
        <v>975000</v>
      </c>
      <c r="H82" s="11" t="n">
        <v>2035000</v>
      </c>
      <c r="I82" s="11" t="n">
        <v>465500</v>
      </c>
      <c r="J82" s="11" t="n">
        <v>24972</v>
      </c>
      <c r="K82" s="11" t="n">
        <v>2081</v>
      </c>
      <c r="L82" s="11" t="n">
        <v>1050</v>
      </c>
    </row>
    <row r="83" customFormat="false" ht="15" hidden="false" customHeight="false" outlineLevel="0" collapsed="false">
      <c r="A83" s="4" t="s">
        <v>97</v>
      </c>
      <c r="B83" s="4" t="s">
        <v>79</v>
      </c>
      <c r="C83" s="5" t="n">
        <v>86</v>
      </c>
      <c r="D83" s="4"/>
      <c r="E83" s="6" t="n">
        <v>0.018831</v>
      </c>
      <c r="F83" s="7" t="n">
        <v>2604000</v>
      </c>
      <c r="G83" s="7" t="n">
        <v>1546000</v>
      </c>
      <c r="H83" s="7" t="n">
        <v>4150000</v>
      </c>
      <c r="I83" s="7" t="n">
        <v>1143800</v>
      </c>
      <c r="J83" s="7" t="n">
        <v>61360</v>
      </c>
      <c r="K83" s="7" t="n">
        <v>5113</v>
      </c>
      <c r="L83" s="7" t="n">
        <v>2050</v>
      </c>
    </row>
    <row r="84" customFormat="false" ht="15" hidden="false" customHeight="false" outlineLevel="0" collapsed="false">
      <c r="A84" s="8" t="s">
        <v>98</v>
      </c>
      <c r="B84" s="8" t="s">
        <v>79</v>
      </c>
      <c r="C84" s="9" t="n">
        <v>124</v>
      </c>
      <c r="D84" s="8"/>
      <c r="E84" s="10" t="n">
        <v>0.027151</v>
      </c>
      <c r="F84" s="11" t="n">
        <v>3755000</v>
      </c>
      <c r="G84" s="11" t="n">
        <v>1735000</v>
      </c>
      <c r="H84" s="11" t="n">
        <v>5490000</v>
      </c>
      <c r="I84" s="11" t="n">
        <v>1649200</v>
      </c>
      <c r="J84" s="11" t="n">
        <v>88472</v>
      </c>
      <c r="K84" s="11" t="n">
        <v>7373</v>
      </c>
      <c r="L84" s="11" t="n">
        <v>2050</v>
      </c>
    </row>
    <row r="85" customFormat="false" ht="15" hidden="false" customHeight="false" outlineLevel="0" collapsed="false">
      <c r="A85" s="4" t="s">
        <v>99</v>
      </c>
      <c r="B85" s="4" t="s">
        <v>19</v>
      </c>
      <c r="C85" s="5" t="n">
        <v>34</v>
      </c>
      <c r="D85" s="4"/>
      <c r="E85" s="6" t="n">
        <v>0.007445</v>
      </c>
      <c r="F85" s="7" t="n">
        <v>1030000</v>
      </c>
      <c r="G85" s="7" t="n">
        <v>1010000</v>
      </c>
      <c r="H85" s="7" t="n">
        <v>2040000</v>
      </c>
      <c r="I85" s="7" t="n">
        <v>452200</v>
      </c>
      <c r="J85" s="7" t="n">
        <v>24258</v>
      </c>
      <c r="K85" s="7" t="n">
        <v>2022</v>
      </c>
      <c r="L85" s="7" t="n">
        <v>1050</v>
      </c>
    </row>
    <row r="86" customFormat="false" ht="15" hidden="false" customHeight="false" outlineLevel="0" collapsed="false">
      <c r="A86" s="8" t="s">
        <v>100</v>
      </c>
      <c r="B86" s="8" t="s">
        <v>19</v>
      </c>
      <c r="C86" s="9" t="n">
        <v>35</v>
      </c>
      <c r="D86" s="8"/>
      <c r="E86" s="10" t="n">
        <v>0.007664</v>
      </c>
      <c r="F86" s="11" t="n">
        <v>1060000</v>
      </c>
      <c r="G86" s="11" t="n">
        <v>1020000</v>
      </c>
      <c r="H86" s="11" t="n">
        <v>2080000</v>
      </c>
      <c r="I86" s="11" t="n">
        <v>465500</v>
      </c>
      <c r="J86" s="11" t="n">
        <v>24972</v>
      </c>
      <c r="K86" s="11" t="n">
        <v>2081</v>
      </c>
      <c r="L86" s="11" t="n">
        <v>1050</v>
      </c>
    </row>
    <row r="87" customFormat="false" ht="15" hidden="false" customHeight="false" outlineLevel="0" collapsed="false">
      <c r="A87" s="4" t="s">
        <v>101</v>
      </c>
      <c r="B87" s="4" t="s">
        <v>19</v>
      </c>
      <c r="C87" s="5" t="n">
        <v>35</v>
      </c>
      <c r="D87" s="4"/>
      <c r="E87" s="6" t="n">
        <v>0.007664</v>
      </c>
      <c r="F87" s="7" t="n">
        <v>1060000</v>
      </c>
      <c r="G87" s="7" t="n">
        <v>1035000</v>
      </c>
      <c r="H87" s="7" t="n">
        <v>2095000</v>
      </c>
      <c r="I87" s="7" t="n">
        <v>465500</v>
      </c>
      <c r="J87" s="7" t="n">
        <v>24972</v>
      </c>
      <c r="K87" s="7" t="n">
        <v>2081</v>
      </c>
      <c r="L87" s="7" t="n">
        <v>1050</v>
      </c>
    </row>
    <row r="88" customFormat="false" ht="15" hidden="false" customHeight="false" outlineLevel="0" collapsed="false">
      <c r="A88" s="8" t="s">
        <v>102</v>
      </c>
      <c r="B88" s="8" t="s">
        <v>79</v>
      </c>
      <c r="C88" s="9" t="n">
        <v>86</v>
      </c>
      <c r="D88" s="8"/>
      <c r="E88" s="10" t="n">
        <v>0.018831</v>
      </c>
      <c r="F88" s="11" t="n">
        <v>2604000</v>
      </c>
      <c r="G88" s="11" t="n">
        <v>1646000</v>
      </c>
      <c r="H88" s="11" t="n">
        <v>4250000</v>
      </c>
      <c r="I88" s="11" t="n">
        <v>1143800</v>
      </c>
      <c r="J88" s="11" t="n">
        <v>61360</v>
      </c>
      <c r="K88" s="11" t="n">
        <v>5113</v>
      </c>
      <c r="L88" s="11" t="n">
        <v>2050</v>
      </c>
    </row>
    <row r="89" customFormat="false" ht="15" hidden="false" customHeight="false" outlineLevel="0" collapsed="false">
      <c r="A89" s="12" t="s">
        <v>103</v>
      </c>
      <c r="B89" s="12" t="str">
        <f aca="false">COUNTA(B5:B88)&amp;" lgh"</f>
        <v>84 lgh</v>
      </c>
      <c r="C89" s="13" t="n">
        <f aca="false">SUM(C5:C88)</f>
        <v>4567</v>
      </c>
      <c r="D89" s="12"/>
      <c r="E89" s="14" t="n">
        <f aca="false">SUM(E5:E88)</f>
        <v>1.000004</v>
      </c>
      <c r="F89" s="15" t="n">
        <f aca="false">SUM(F5:F88)</f>
        <v>138308000</v>
      </c>
      <c r="G89" s="15" t="n">
        <f aca="false">SUM(G5:G88)</f>
        <v>87392000</v>
      </c>
      <c r="H89" s="15" t="n">
        <f aca="false">SUM(H5:H88)</f>
        <v>225700000</v>
      </c>
      <c r="I89" s="15" t="n">
        <f aca="false">SUM(I5:I88)</f>
        <v>60741100</v>
      </c>
      <c r="J89" s="15" t="n">
        <f aca="false">SUM(J5:J88)</f>
        <v>3258481</v>
      </c>
      <c r="K89" s="12"/>
      <c r="L89" s="15" t="n">
        <f aca="false">SUM(L5:L88)</f>
        <v>118900</v>
      </c>
    </row>
    <row r="91" customFormat="false" ht="15" hidden="false" customHeight="false" outlineLevel="0" collapsed="false">
      <c r="A91" s="2" t="s">
        <v>104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</sheetData>
  <mergeCells count="3">
    <mergeCell ref="A1:L1"/>
    <mergeCell ref="A2:L2"/>
    <mergeCell ref="A91:L9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17"/>
    <col collapsed="false" customWidth="true" hidden="false" outlineLevel="0" max="5" min="5" style="0" width="15"/>
    <col collapsed="false" customWidth="true" hidden="false" outlineLevel="0" max="6" min="6" style="0" width="17"/>
  </cols>
  <sheetData>
    <row r="1" customFormat="false" ht="17.35" hidden="false" customHeight="false" outlineLevel="0" collapsed="false">
      <c r="A1" s="1" t="s">
        <v>105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106</v>
      </c>
      <c r="B2" s="2"/>
      <c r="C2" s="2"/>
      <c r="D2" s="2"/>
      <c r="E2" s="2"/>
      <c r="F2" s="2"/>
    </row>
    <row r="4" customFormat="false" ht="23.85" hidden="false" customHeight="false" outlineLevel="0" collapsed="false">
      <c r="A4" s="3" t="s">
        <v>3</v>
      </c>
      <c r="B4" s="3" t="s">
        <v>107</v>
      </c>
      <c r="C4" s="3" t="s">
        <v>108</v>
      </c>
      <c r="D4" s="3" t="s">
        <v>109</v>
      </c>
      <c r="E4" s="3" t="s">
        <v>110</v>
      </c>
      <c r="F4" s="3" t="s">
        <v>111</v>
      </c>
    </row>
    <row r="5" customFormat="false" ht="15" hidden="false" customHeight="false" outlineLevel="0" collapsed="false">
      <c r="A5" s="4" t="s">
        <v>19</v>
      </c>
      <c r="B5" s="4" t="n">
        <f aca="false">COUNTIF(Lägenheter!B5:B88,A5)</f>
        <v>32</v>
      </c>
      <c r="C5" s="16" t="n">
        <f aca="false">B5/SUM($B$5:$B$8)</f>
        <v>0.380952380952381</v>
      </c>
      <c r="D5" s="17" t="n">
        <f aca="false">SUMIF(Lägenheter!B5:B88,A5,Lägenheter!C5:C88)</f>
        <v>1077</v>
      </c>
      <c r="E5" s="18" t="n">
        <f aca="false">D5/B5</f>
        <v>33.65625</v>
      </c>
      <c r="F5" s="6" t="n">
        <f aca="false">SUMIF(Lägenheter!B5:B88,A5,Lägenheter!E5:E88)</f>
        <v>0.235831</v>
      </c>
    </row>
    <row r="6" customFormat="false" ht="15" hidden="false" customHeight="false" outlineLevel="0" collapsed="false">
      <c r="A6" s="8" t="s">
        <v>49</v>
      </c>
      <c r="B6" s="8" t="n">
        <f aca="false">COUNTIF(Lägenheter!B5:B88,A6)</f>
        <v>21</v>
      </c>
      <c r="C6" s="19" t="n">
        <f aca="false">B6/SUM($B$5:$B$8)</f>
        <v>0.25</v>
      </c>
      <c r="D6" s="20" t="n">
        <f aca="false">SUMIF(Lägenheter!B5:B88,A6,Lägenheter!C5:C88)</f>
        <v>1113</v>
      </c>
      <c r="E6" s="21" t="n">
        <f aca="false">D6/B6</f>
        <v>53</v>
      </c>
      <c r="F6" s="10" t="n">
        <f aca="false">SUMIF(Lägenheter!B5:B88,A6,Lägenheter!E5:E88)</f>
        <v>0.243705</v>
      </c>
    </row>
    <row r="7" customFormat="false" ht="15" hidden="false" customHeight="false" outlineLevel="0" collapsed="false">
      <c r="A7" s="4" t="s">
        <v>15</v>
      </c>
      <c r="B7" s="4" t="n">
        <f aca="false">COUNTIF(Lägenheter!B5:B88,A7)</f>
        <v>22</v>
      </c>
      <c r="C7" s="16" t="n">
        <f aca="false">B7/SUM($B$5:$B$8)</f>
        <v>0.261904761904762</v>
      </c>
      <c r="D7" s="17" t="n">
        <f aca="false">SUMIF(Lägenheter!B5:B88,A7,Lägenheter!C5:C88)</f>
        <v>1565</v>
      </c>
      <c r="E7" s="18" t="n">
        <f aca="false">D7/B7</f>
        <v>71.1363636363636</v>
      </c>
      <c r="F7" s="6" t="n">
        <f aca="false">SUMIF(Lägenheter!B5:B88,A7,Lägenheter!E5:E88)</f>
        <v>0.342669</v>
      </c>
    </row>
    <row r="8" customFormat="false" ht="15" hidden="false" customHeight="false" outlineLevel="0" collapsed="false">
      <c r="A8" s="8" t="s">
        <v>79</v>
      </c>
      <c r="B8" s="8" t="n">
        <f aca="false">COUNTIF(Lägenheter!B5:B88,A8)</f>
        <v>9</v>
      </c>
      <c r="C8" s="19" t="n">
        <f aca="false">B8/SUM($B$5:$B$8)</f>
        <v>0.107142857142857</v>
      </c>
      <c r="D8" s="20" t="n">
        <f aca="false">SUMIF(Lägenheter!B5:B88,A8,Lägenheter!C5:C88)</f>
        <v>812</v>
      </c>
      <c r="E8" s="21" t="n">
        <f aca="false">D8/B8</f>
        <v>90.2222222222222</v>
      </c>
      <c r="F8" s="10" t="n">
        <f aca="false">SUMIF(Lägenheter!B5:B88,A8,Lägenheter!E5:E88)</f>
        <v>0.177799</v>
      </c>
    </row>
    <row r="9" customFormat="false" ht="15" hidden="false" customHeight="false" outlineLevel="0" collapsed="false">
      <c r="A9" s="12" t="s">
        <v>112</v>
      </c>
      <c r="B9" s="12" t="n">
        <f aca="false">SUM(B5:B8)</f>
        <v>84</v>
      </c>
      <c r="C9" s="22" t="n">
        <f aca="false">SUM(C5:C8)</f>
        <v>1</v>
      </c>
      <c r="D9" s="23" t="n">
        <f aca="false">SUM(D5:D8)</f>
        <v>4567</v>
      </c>
      <c r="E9" s="24" t="n">
        <f aca="false">D9/B9</f>
        <v>54.3690476190476</v>
      </c>
      <c r="F9" s="14" t="n">
        <f aca="false">SUM(F5:F8)</f>
        <v>1.000004</v>
      </c>
    </row>
    <row r="33" customFormat="false" ht="15" hidden="false" customHeight="false" outlineLevel="0" collapsed="false">
      <c r="A33" s="2" t="s">
        <v>113</v>
      </c>
      <c r="B33" s="2"/>
      <c r="C33" s="2"/>
      <c r="D33" s="2"/>
      <c r="E33" s="2"/>
      <c r="F33" s="2"/>
    </row>
  </sheetData>
  <mergeCells count="3">
    <mergeCell ref="A1:F1"/>
    <mergeCell ref="A2:F2"/>
    <mergeCell ref="A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2026-08-30T09:13:13Z</dcterms:created>
  <dc:creator>openpyxl</dc:creator>
  <dc:description/>
  <dc:language>en-US</dc:language>
  <cp:lastModifiedBy/>
  <dcterms:modified xsi:type="dcterms:W3CDTF">2026-08-30T09:13:19Z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